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ansk\Downloads\"/>
    </mc:Choice>
  </mc:AlternateContent>
  <xr:revisionPtr revIDLastSave="0" documentId="8_{2A8F0042-B131-456F-9D25-CB424D853839}" xr6:coauthVersionLast="47" xr6:coauthVersionMax="47" xr10:uidLastSave="{00000000-0000-0000-0000-000000000000}"/>
  <bookViews>
    <workbookView xWindow="28680" yWindow="-120" windowWidth="29040" windowHeight="15720" xr2:uid="{26D4546B-D2A1-4444-8EAF-A6228F96F0C1}"/>
  </bookViews>
  <sheets>
    <sheet name="Dashboard" sheetId="5" r:id="rId1"/>
    <sheet name="Sheet4" sheetId="8" r:id="rId2"/>
    <sheet name="Sheet5" sheetId="9" r:id="rId3"/>
    <sheet name="Data" sheetId="2" r:id="rId4"/>
    <sheet name="Sheet2" sheetId="6" r:id="rId5"/>
    <sheet name="Assets" sheetId="4" r:id="rId6"/>
  </sheets>
  <definedNames>
    <definedName name="_xlnm._FilterDatabase" localSheetId="3" hidden="1">Data!$B$3:$H$1003</definedName>
    <definedName name="_xlcn.WorksheetConnection_07.sampledataexcelportfolioproject.xlsxcalls" hidden="1">calls[]</definedName>
    <definedName name="_xlcn.WorksheetConnection_07.sampledataexcelportfolioproject.xlsxcustomers" hidden="1">customers[]</definedName>
    <definedName name="Slicer_Representativ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79" i="6" l="1"/>
  <c r="E73" i="6"/>
  <c r="H77" i="6" s="1"/>
  <c r="E72" i="6"/>
  <c r="H76" i="6" s="1"/>
  <c r="E71" i="6"/>
  <c r="H75" i="6" s="1"/>
  <c r="J45" i="6"/>
  <c r="J51" i="6" s="1"/>
  <c r="F48" i="6" a="1"/>
  <c r="F48"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E76" i="6" l="1"/>
  <c r="E77" i="6"/>
  <c r="J50" i="6"/>
  <c r="I50" i="6"/>
  <c r="I48" i="6"/>
  <c r="J48" i="6"/>
  <c r="J49" i="6"/>
  <c r="I52" i="6"/>
  <c r="I51" i="6"/>
  <c r="I49" i="6"/>
  <c r="J5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425E27-9DAC-431E-9F20-F4DEA23648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213D40A-C9DF-41DA-8471-F8C07A235A90}"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3" xr16:uid="{929631BC-0CFA-4BA5-9CCA-B465D43ED2D5}"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<sst xmlns="http://schemas.openxmlformats.org/spreadsheetml/2006/main" count="3192" uniqueCount="1086">
  <si>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</si>
  <si>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</si>
  <si>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</si>
  <si>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</si>
  <si>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</si>
  <si>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</si>
  <si>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</si>
  <si>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</si>
  <si>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</si>
  <si>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</si>
  <si>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</si>
  <si>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</si>
  <si>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</si>
  <si>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</si>
  <si>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</si>
  <si>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</si>
  <si>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</si>
  <si>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</si>
  <si>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</si>
  <si>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</si>
  <si>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</si>
  <si>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</si>
  <si>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</si>
  <si>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</si>
  <si>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</si>
  <si>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</si>
  <si>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</si>
  <si>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</si>
  <si>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</si>
  <si>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</si>
  <si>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</si>
  <si>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</si>
  <si>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</si>
  <si>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</si>
  <si>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</si>
  <si>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</si>
  <si>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</si>
  <si>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</si>
  <si>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</si>
  <si>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</si>
  <si>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</si>
  <si>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</si>
  <si>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</si>
  <si>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</si>
  <si>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</si>
  <si>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</si>
  <si>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</si>
  <si>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</si>
  <si>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</si>
  <si>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</si>
  <si>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</si>
  <si>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</si>
  <si>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</si>
  <si>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</si>
  <si>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</si>
  <si>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</si>
  <si>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</si>
  <si>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</si>
  <si>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</si>
  <si>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</si>
  <si>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</si>
  <si>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</si>
  <si>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</si>
  <si>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</si>
  <si>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</si>
  <si>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</si>
  <si>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</si>
  <si>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</si>
  <si>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</si>
  <si>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</si>
  <si>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</si>
  <si>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</si>
  <si>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</si>
  <si>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</si>
  <si>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</si>
  <si>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</si>
  <si>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</si>
  <si>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</si>
  <si>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</si>
  <si>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</si>
  <si>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</si>
  <si>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</si>
  <si>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</si>
  <si>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</si>
  <si>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</si>
  <si>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</si>
  <si>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</si>
  <si>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</si>
  <si>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</si>
  <si>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</si>
  <si>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</si>
  <si>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</si>
  <si>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</si>
  <si>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</si>
  <si>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</si>
  <si>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</si>
  <si>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</si>
  <si>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</si>
  <si>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</si>
  <si>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</si>
  <si>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</si>
  <si>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</si>
  <si>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</si>
  <si>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</si>
  <si>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</si>
  <si>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</si>
  <si>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</si>
  <si>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</si>
  <si>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</si>
  <si>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</si>
  <si>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</si>
  <si>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</si>
  <si>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</si>
  <si>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</si>
  <si>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</si>
  <si>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</si>
  <si>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</si>
  <si>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</si>
  <si>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</si>
  <si>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</si>
  <si>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</si>
  <si>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</si>
  <si>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</si>
  <si>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</si>
  <si>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</si>
  <si>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</si>
  <si>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</si>
  <si>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</si>
  <si>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</si>
  <si>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</si>
  <si>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</si>
  <si>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</si>
  <si>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</si>
  <si>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</si>
  <si>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</si>
  <si>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</si>
  <si>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</si>
  <si>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</si>
  <si>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</si>
  <si>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</si>
  <si>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</si>
  <si>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</si>
  <si>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</si>
  <si>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</si>
  <si>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</si>
  <si>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</si>
  <si>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</si>
  <si>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</si>
  <si>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</si>
  <si>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</si>
  <si>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</si>
  <si>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</si>
  <si>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</si>
  <si>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</si>
  <si>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</si>
  <si>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</si>
  <si>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</si>
  <si>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</si>
  <si>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</si>
  <si>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</si>
  <si>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</si>
  <si>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</si>
  <si>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</si>
  <si>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</si>
  <si>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</si>
  <si>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</si>
  <si>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</si>
  <si>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</si>
  <si>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</si>
  <si>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</si>
  <si>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</si>
  <si>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</si>
  <si>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</si>
  <si>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</si>
  <si>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</si>
  <si>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</si>
  <si>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</si>
  <si>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</si>
  <si>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</si>
  <si>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</si>
  <si>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</si>
  <si>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</si>
  <si>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</si>
  <si>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</si>
  <si>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</si>
  <si>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</si>
  <si>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</si>
  <si>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</si>
  <si>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</si>
  <si>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</si>
  <si>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</si>
  <si>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</si>
  <si>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</si>
  <si>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</si>
  <si>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</si>
  <si>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</si>
  <si>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</si>
  <si>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</si>
  <si>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</si>
  <si>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</si>
  <si>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</si>
  <si>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</si>
  <si>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</si>
  <si>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</si>
  <si>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</si>
  <si>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</si>
  <si>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</si>
  <si>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</si>
  <si>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</si>
  <si>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</si>
  <si>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</si>
  <si>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</si>
  <si>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</si>
  <si>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</si>
  <si>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</si>
  <si>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</si>
  <si>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</si>
  <si>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</si>
  <si>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</si>
  <si>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</si>
  <si>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</si>
  <si>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</si>
  <si>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</si>
  <si>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</si>
  <si>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</si>
  <si>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</si>
  <si>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</si>
  <si>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</si>
  <si>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</si>
  <si>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</si>
  <si>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</si>
  <si>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</si>
  <si>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</si>
  <si>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</si>
  <si>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</si>
  <si>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</si>
  <si>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</si>
  <si>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</si>
  <si>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</si>
  <si>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</si>
  <si>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</si>
  <si>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</si>
  <si>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</si>
  <si>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</si>
  <si>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</si>
  <si>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</si>
  <si>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</si>
  <si>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</si>
  <si>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</si>
  <si>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</si>
  <si>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</si>
  <si>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</si>
  <si>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</si>
  <si>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</si>
  <si>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</si>
  <si>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</si>
  <si>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</si>
  <si>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</si>
  <si>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</si>
  <si>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</si>
  <si>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</si>
  <si>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</si>
  <si>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</si>
  <si>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</si>
  <si>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</si>
  <si>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</si>
  <si>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</si>
  <si>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</si>
  <si>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</si>
  <si>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</si>
  <si>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</si>
  <si>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</si>
  <si>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</si>
  <si>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</si>
  <si>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</si>
  <si>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</si>
  <si>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</si>
  <si>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</si>
  <si>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</si>
  <si>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</si>
  <si>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</si>
  <si>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</si>
  <si>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</si>
  <si>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</si>
  <si>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</si>
  <si>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</si>
  <si>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</si>
  <si>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</si>
  <si>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</si>
  <si>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</si>
  <si>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</si>
  <si>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</si>
  <si>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</si>
  <si>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</si>
  <si>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</si>
  <si>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</si>
  <si>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</si>
  <si>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</si>
  <si>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</si>
  <si>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</si>
  <si>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</si>
  <si>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</si>
  <si>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</si>
  <si>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</si>
  <si>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</si>
  <si>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</si>
  <si>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</si>
  <si>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</si>
  <si>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</si>
  <si>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</si>
  <si>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</si>
  <si>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</si>
  <si>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</si>
  <si>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</si>
  <si>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</si>
  <si>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</si>
  <si>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</si>
  <si>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</si>
  <si>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</si>
  <si>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</si>
  <si>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</si>
  <si>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</si>
  <si>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</si>
  <si>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</si>
  <si>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</si>
  <si>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</si>
  <si>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</si>
  <si>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</si>
  <si>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</si>
  <si>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</si>
  <si>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</si>
  <si>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</si>
  <si>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</si>
  <si>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</si>
  <si>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</si>
  <si>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</si>
  <si>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</si>
  <si>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</si>
  <si>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</si>
  <si>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</si>
  <si>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</si>
  <si>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</si>
  <si>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</si>
  <si>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</si>
  <si>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</si>
  <si>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</si>
  <si>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</si>
  <si>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</si>
  <si>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</si>
  <si>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</si>
  <si>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</si>
  <si>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</si>
  <si>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</si>
  <si>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</si>
  <si>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</si>
  <si>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</si>
  <si>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</si>
  <si>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</si>
  <si>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</si>
  <si>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</si>
  <si>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</si>
  <si>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</si>
  <si>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</si>
  <si>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</si>
  <si>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</si>
  <si>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</si>
  <si>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</si>
  <si>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</si>
  <si>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</si>
  <si>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</si>
  <si>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</si>
  <si>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</si>
  <si>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</si>
  <si>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</si>
  <si>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</si>
  <si>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</si>
  <si>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</si>
  <si>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</si>
  <si>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</si>
  <si>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</si>
  <si>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</si>
  <si>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</si>
  <si>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</si>
  <si>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</si>
  <si>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</si>
  <si>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</si>
  <si>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</si>
  <si>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</si>
  <si>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</si>
  <si>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</si>
  <si>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</si>
  <si>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</si>
  <si>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</si>
  <si>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</si>
  <si>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</si>
  <si>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</si>
  <si>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</si>
  <si>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</si>
  <si>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</si>
  <si>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</si>
  <si>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</si>
  <si>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</si>
  <si>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</si>
  <si>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</si>
  <si>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</si>
  <si>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</si>
  <si>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</si>
  <si>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</si>
  <si>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</si>
  <si>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</si>
  <si>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</si>
  <si>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</si>
  <si>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</si>
  <si>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</si>
  <si>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</si>
  <si>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</si>
  <si>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</si>
  <si>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</si>
  <si>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</si>
  <si>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</si>
  <si>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</si>
  <si>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</si>
  <si>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</si>
  <si>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</si>
  <si>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</si>
  <si>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</si>
  <si>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</si>
  <si>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</si>
  <si>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</si>
  <si>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</si>
  <si>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</si>
  <si>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</si>
  <si>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</si>
  <si>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</si>
  <si>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</si>
  <si>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</si>
  <si>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</si>
  <si>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</si>
  <si>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</si>
  <si>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</si>
  <si>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</si>
  <si>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</si>
  <si>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</si>
  <si>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</si>
  <si>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</si>
  <si>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</si>
  <si>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</si>
  <si>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</si>
  <si>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</si>
  <si>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</si>
  <si>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</si>
  <si>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</si>
  <si>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</si>
  <si>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</si>
  <si>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</si>
  <si>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</si>
  <si>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</si>
  <si>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</si>
  <si>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</si>
  <si>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</si>
  <si>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</si>
  <si>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</si>
  <si>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</si>
  <si>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</si>
  <si>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</si>
  <si>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</si>
  <si>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</si>
  <si>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</si>
  <si>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</si>
  <si>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</si>
  <si>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</si>
  <si>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</si>
  <si>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</si>
  <si>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</si>
  <si>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</si>
  <si>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</si>
  <si>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</si>
  <si>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</si>
  <si>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</si>
  <si>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</si>
  <si>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</si>
  <si>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</si>
  <si>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</si>
  <si>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</si>
  <si>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</si>
  <si>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</si>
  <si>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</si>
  <si>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</si>
  <si>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</si>
  <si>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</si>
  <si>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</si>
  <si>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</si>
  <si>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</si>
  <si>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</si>
  <si>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</si>
  <si>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</si>
  <si>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</si>
  <si>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</si>
  <si>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</si>
  <si>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</si>
  <si>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</si>
  <si>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</si>
  <si>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</si>
  <si>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</si>
  <si>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</si>
  <si>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</si>
  <si>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</si>
  <si>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</si>
  <si>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</si>
  <si>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</si>
  <si>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</si>
  <si>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</si>
  <si>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</si>
  <si>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</si>
  <si>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</si>
  <si>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</si>
  <si>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</si>
  <si>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</si>
  <si>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</si>
  <si>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</si>
  <si>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</si>
  <si>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</si>
  <si>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</si>
  <si>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</si>
  <si>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</si>
  <si>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</si>
  <si>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</si>
  <si>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</si>
  <si>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</si>
  <si>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</si>
  <si>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</si>
  <si>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</si>
  <si>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</si>
  <si>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</si>
  <si>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</si>
  <si>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</si>
  <si>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</si>
  <si>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</si>
  <si>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</si>
  <si>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</si>
  <si>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</si>
  <si>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</si>
  <si>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</si>
  <si>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</si>
  <si>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</si>
  <si>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</si>
  <si>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</si>
  <si>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</si>
  <si>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</si>
  <si>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</si>
  <si>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</si>
  <si>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</si>
  <si>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</si>
  <si>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</si>
  <si>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</si>
  <si>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</si>
  <si>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</si>
  <si>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</si>
  <si>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</si>
  <si>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</si>
  <si>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</si>
  <si>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</si>
  <si>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</si>
  <si>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</si>
  <si>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</si>
  <si>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</si>
  <si>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</si>
  <si>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</si>
  <si>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</si>
  <si>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</si>
  <si>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</si>
  <si>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</si>
  <si>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</si>
  <si>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</si>
  <si>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</si>
  <si>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</si>
  <si>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</si>
  <si>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</si>
  <si>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</si>
  <si>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</si>
  <si>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</si>
  <si>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</si>
  <si>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</si>
  <si>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</si>
  <si>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</si>
  <si>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</si>
  <si>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</si>
  <si>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</si>
  <si>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</si>
  <si>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</si>
  <si>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</si>
  <si>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</si>
  <si>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</si>
  <si>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</si>
  <si>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</si>
  <si>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</si>
  <si>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</si>
  <si>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</si>
  <si>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</si>
  <si>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</si>
  <si>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</si>
  <si>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</si>
  <si>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</si>
  <si>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</si>
  <si>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</si>
  <si>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</si>
  <si>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</si>
  <si>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</si>
  <si>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</si>
  <si>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</si>
  <si>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</si>
  <si>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</si>
  <si>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</si>
  <si>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</si>
  <si>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</si>
  <si>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</si>
  <si>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</si>
  <si>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</si>
  <si>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</si>
  <si>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</si>
  <si>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</si>
  <si>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</si>
  <si>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</si>
  <si>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</si>
  <si>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</si>
  <si>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</si>
  <si>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</si>
  <si>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</si>
  <si>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</si>
  <si>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</si>
  <si>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</si>
  <si>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</si>
  <si>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</si>
  <si>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</si>
  <si>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</si>
  <si>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</si>
  <si>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</si>
  <si>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</si>
  <si>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</si>
  <si>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</si>
  <si>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</si>
  <si>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</si>
  <si>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</si>
  <si>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</si>
  <si>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</si>
  <si>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</si>
  <si>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</si>
  <si>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</si>
  <si>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</si>
  <si>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</si>
  <si>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</si>
  <si>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</si>
  <si>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</si>
  <si>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</si>
  <si>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</si>
  <si>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</si>
  <si>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</si>
  <si>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</si>
  <si>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</si>
  <si>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</si>
  <si>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</si>
  <si>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</si>
  <si>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</si>
  <si>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</si>
  <si>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</si>
  <si>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</si>
  <si>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</si>
  <si>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</si>
  <si>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</si>
  <si>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</si>
  <si>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</si>
  <si>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</si>
  <si>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</si>
  <si>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</si>
  <si>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</si>
  <si>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</si>
  <si>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</si>
  <si>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</si>
  <si>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</si>
  <si>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</si>
  <si>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</si>
  <si>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</si>
  <si>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</si>
  <si>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</si>
  <si>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</si>
  <si>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</si>
  <si>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</si>
  <si>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</si>
  <si>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</si>
  <si>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</si>
  <si>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</si>
  <si>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</si>
  <si>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</si>
  <si>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</si>
  <si>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</si>
  <si>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</si>
  <si>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</si>
  <si>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</si>
  <si>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</si>
  <si>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</si>
  <si>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</si>
  <si>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</si>
  <si>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</si>
  <si>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</si>
  <si>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</si>
  <si>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</si>
  <si>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</si>
  <si>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</si>
  <si>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</si>
  <si>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</si>
  <si>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</si>
  <si>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</si>
  <si>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</si>
  <si>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</si>
  <si>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</si>
  <si>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</si>
  <si>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</si>
  <si>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</si>
  <si>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</si>
  <si>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</si>
  <si>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</si>
  <si>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</si>
  <si>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</si>
  <si>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</si>
  <si>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</si>
  <si>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</si>
  <si>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</si>
  <si>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</si>
  <si>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</si>
  <si>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</si>
  <si>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</si>
  <si>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</si>
  <si>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</si>
  <si>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</si>
  <si>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</si>
  <si>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</si>
  <si>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</si>
  <si>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</si>
  <si>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</si>
  <si>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</si>
  <si>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</si>
  <si>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</si>
  <si>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</si>
  <si>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</si>
  <si>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</si>
  <si>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</si>
  <si>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</si>
  <si>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</si>
  <si>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</si>
  <si>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</si>
  <si>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</si>
  <si>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</si>
  <si>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</si>
  <si>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</si>
  <si>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</si>
  <si>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</si>
  <si>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</si>
  <si>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</si>
  <si>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</si>
  <si>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</si>
  <si>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</si>
  <si>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</si>
  <si>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</si>
  <si>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</si>
  <si>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</si>
  <si>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</si>
  <si>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</si>
  <si>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</si>
  <si>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</si>
  <si>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</si>
  <si>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</si>
  <si>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</si>
  <si>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</si>
  <si>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</si>
  <si>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</si>
  <si>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</si>
  <si>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</si>
  <si>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</si>
  <si>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</si>
  <si>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</si>
  <si>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</si>
  <si>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</si>
  <si>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</si>
  <si>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</si>
  <si>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</si>
  <si>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</si>
  <si>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</si>
  <si>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</si>
  <si>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</si>
  <si>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</si>
  <si>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</si>
  <si>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</si>
  <si>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</si>
  <si>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</si>
  <si>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</si>
  <si>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</si>
  <si>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</si>
  <si>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</si>
  <si>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</si>
  <si>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</si>
  <si>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</si>
  <si>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</si>
  <si>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</si>
  <si>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</si>
  <si>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</si>
  <si>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</si>
  <si>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</si>
  <si>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</si>
  <si>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</si>
  <si>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</si>
  <si>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</si>
  <si>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</si>
  <si>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</si>
  <si>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</si>
  <si>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</si>
  <si>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</si>
  <si>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</si>
  <si>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</si>
  <si>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</si>
  <si>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</si>
  <si>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</si>
  <si>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</si>
  <si>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</si>
  <si>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</si>
  <si>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</si>
  <si>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</si>
  <si>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</si>
  <si>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</si>
  <si>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</si>
  <si>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</si>
  <si>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</si>
  <si>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</si>
  <si>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</si>
  <si>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</si>
  <si>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</si>
  <si>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</si>
  <si>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</si>
  <si>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</si>
  <si>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</si>
  <si>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</si>
  <si>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</si>
  <si>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</si>
  <si>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</si>
  <si>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</si>
  <si>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</si>
  <si>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</si>
  <si>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</si>
  <si>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</si>
  <si>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</si>
  <si>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</si>
  <si>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</si>
  <si>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</si>
  <si>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</si>
  <si>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</si>
  <si>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</si>
  <si>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</si>
  <si>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</si>
  <si>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</si>
  <si>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</si>
  <si>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</si>
  <si>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</si>
  <si>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</si>
  <si>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</si>
  <si>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</si>
  <si>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</si>
  <si>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</si>
  <si>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</si>
  <si>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</si>
  <si>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</si>
  <si>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</si>
  <si>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</si>
  <si>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</si>
  <si>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</si>
  <si>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</si>
  <si>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</si>
  <si>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</si>
  <si>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</si>
  <si>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</si>
  <si>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</si>
  <si>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</si>
  <si>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</si>
  <si>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</si>
  <si>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</si>
  <si>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</si>
  <si>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</si>
  <si>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</si>
  <si>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</si>
  <si>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</si>
  <si>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</si>
  <si>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</si>
  <si>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</si>
  <si>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</si>
  <si>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</si>
  <si>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</si>
  <si>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</si>
  <si>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</si>
  <si>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</si>
  <si>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</si>
  <si>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</si>
  <si>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</si>
  <si>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</si>
  <si>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</si>
  <si>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</si>
  <si>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</si>
  <si>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</si>
  <si>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</si>
  <si>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</si>
  <si>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</si>
  <si>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</si>
  <si>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</si>
  <si>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</si>
  <si>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</si>
  <si>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</si>
  <si>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</si>
  <si>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</si>
  <si>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</si>
  <si>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</si>
  <si>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</si>
  <si>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</si>
  <si>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</si>
  <si>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</si>
  <si>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</si>
  <si>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</si>
  <si>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</si>
  <si>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</si>
  <si>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</si>
  <si>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</si>
  <si>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</si>
  <si>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</si>
  <si>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</si>
  <si>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</si>
  <si>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</si>
  <si>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</si>
  <si>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</si>
  <si>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</si>
  <si>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</si>
  <si>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</si>
  <si>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</si>
  <si>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</si>
  <si>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</si>
  <si>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</si>
  <si>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</si>
  <si>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</si>
  <si>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</si>
  <si>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</si>
  <si>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</si>
  <si>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</si>
  <si>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</si>
  <si>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</si>
  <si>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</si>
  <si>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</si>
  <si>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</si>
  <si>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</si>
  <si>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</si>
  <si>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</si>
  <si>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</si>
  <si>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</si>
  <si>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</si>
  <si>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</si>
  <si>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</si>
  <si>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</si>
  <si>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</si>
  <si>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</si>
  <si>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</si>
  <si>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</si>
  <si>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</si>
  <si>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</si>
  <si>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</si>
  <si>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</si>
  <si>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</si>
  <si>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</si>
  <si>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</si>
  <si>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</si>
  <si>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</si>
  <si>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</si>
  <si>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</si>
  <si>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</si>
  <si>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</si>
  <si>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</si>
  <si>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</si>
  <si>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</si>
  <si>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</si>
  <si>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</si>
  <si>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</si>
  <si>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</si>
  <si>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</si>
  <si>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</si>
  <si>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</si>
  <si>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</si>
  <si>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</si>
  <si>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</si>
  <si>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</si>
  <si>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</si>
  <si>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</si>
  <si>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</si>
  <si>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</si>
  <si>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</si>
  <si>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</si>
  <si>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</si>
  <si>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</si>
  <si>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</si>
  <si>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</si>
  <si>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</si>
  <si>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</si>
  <si>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</si>
  <si>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</si>
  <si>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</si>
  <si>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</si>
  <si>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</si>
  <si>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</si>
  <si>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</si>
  <si>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</si>
  <si>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</si>
  <si>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</si>
  <si>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</si>
  <si>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</si>
  <si>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</si>
  <si>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</si>
  <si>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</si>
  <si>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</si>
  <si>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</si>
  <si>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</si>
  <si>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</si>
  <si>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</si>
  <si>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</si>
  <si>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</si>
  <si>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</si>
  <si>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</si>
  <si>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</si>
  <si>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</si>
  <si>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</si>
  <si>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</si>
  <si>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</si>
  <si>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</si>
  <si>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</si>
  <si>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</si>
  <si>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</si>
  <si>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</si>
  <si>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</si>
  <si>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</si>
  <si>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</si>
  <si>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 xml:space="preserve"> </t>
  </si>
  <si>
    <t>Gender</t>
  </si>
  <si>
    <t>Call Count</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</si>
  <si>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</si>
  <si>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</si>
  <si>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</si>
  <si>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</si>
  <si>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</si>
  <si>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</si>
  <si>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</si>
  <si>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</si>
  <si>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</si>
  <si>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</si>
  <si>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</si>
  <si>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</si>
  <si>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</si>
  <si>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</si>
  <si>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</si>
  <si>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</si>
  <si>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</si>
  <si>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</si>
  <si>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</si>
  <si>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</si>
  <si>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</si>
  <si>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</si>
  <si>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</si>
  <si>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</si>
  <si>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</si>
  <si>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</si>
  <si>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</si>
  <si>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</si>
  <si>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</si>
  <si>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</si>
  <si>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 CALLS</t>
  </si>
  <si>
    <t>SEL AMOUNT</t>
  </si>
  <si>
    <t>SELECTED REP</t>
  </si>
  <si>
    <t>Column Labels</t>
  </si>
  <si>
    <t>TOTAL</t>
  </si>
  <si>
    <t>Rep Summary</t>
  </si>
  <si>
    <t>% of calls</t>
  </si>
  <si>
    <t>Call Rank</t>
  </si>
  <si>
    <t>Amount Rank</t>
  </si>
  <si>
    <t>Labels</t>
  </si>
  <si>
    <t>Image:</t>
  </si>
  <si>
    <t>CALL CENTRE DATA ANALYSIS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</si>
</sst>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0"/>
    <numFmt numFmtId="166" formatCode="0.0"/>
    <numFmt numFmtId="167" formatCode="\$#,###.0,&quot;K&quot;"/>
  </numFmts>
  <fonts count="9"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b/>
      <sz val="10"/>
      <color theme="1"/>
      <name val="Aptos"/>
      <family val="2"/>
      <scheme val="minor"/>
    </font>
    <font>
      <sz val="10"/>
      <color theme="1"/>
      <name val="Aptos"/>
      <family val="2"/>
      <scheme val="minor"/>
    </font>
    <font>
      <sz val="11"/>
      <color theme="1"/>
      <name val="Aptos"/>
      <family val="2"/>
      <scheme val="minor"/>
    </font>
    <font>
      <sz val="10"/>
      <color theme="0" tint="-0.499984740745262"/>
      <name val="Aptos"/>
      <family val="2"/>
      <scheme val="minor"/>
    </font>
    <font>
      <sz val="24"/>
      <color theme="9"/>
      <name val="Aptos ExtraBold"/>
      <family val="2"/>
      <scheme val="maj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9"/>
        <bgColor indexed="64"/>
      </patternFill>
    </fill>
    <fill>
      <patternFill patternType="solid">
        <fgColor theme="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top/>
      <bottom style="thin">
        <color theme="4" tint="0.39997558519241921"/>
      </bottom>
      <diagonal/>
    </border>
    <border>
      <left/>
      <right style="thin">
        <color theme="0" tint="-0.14996795556505021"/>
      </right>
      <top/>
      <bottom style="thin">
        <color theme="4" tint="0.39997558519241921"/>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s>
  <cellStyleXfs count="2">
    <xf numFmtId="0" fontId="0" fillId="0" borderId="0"/>
    <xf numFmtId="9" fontId="6" fillId="0" borderId="0" applyFont="0" applyFill="0" applyBorder="0" applyAlignment="0" applyProtection="0"/>
  </cellStyleXfs>
  <cellXfs count="55">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0" xfId="0" applyAlignment="1">
      <alignment horizontal="left"/>
    </xf>
    <xf numFmtId="0" fontId="0" fillId="0" borderId="0" xfId="0" applyNumberFormat="1"/>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4" fillId="5" borderId="10" xfId="0" applyNumberFormat="1" applyFont="1" applyFill="1" applyBorder="1"/>
    <xf numFmtId="165" fontId="5" fillId="5" borderId="0" xfId="0" applyNumberFormat="1" applyFont="1" applyFill="1" applyBorder="1"/>
    <xf numFmtId="0" fontId="0" fillId="5" borderId="20" xfId="0" applyFill="1" applyBorder="1"/>
    <xf numFmtId="0" fontId="4" fillId="5" borderId="23" xfId="0" applyFont="1" applyFill="1" applyBorder="1" applyAlignment="1">
      <alignment horizontal="left"/>
    </xf>
    <xf numFmtId="0" fontId="4" fillId="5" borderId="24" xfId="0" applyNumberFormat="1" applyFont="1" applyFill="1" applyBorder="1"/>
    <xf numFmtId="0" fontId="5" fillId="5" borderId="25" xfId="0" applyFont="1" applyFill="1" applyBorder="1" applyAlignment="1">
      <alignment horizontal="left" indent="1"/>
    </xf>
    <xf numFmtId="165" fontId="5" fillId="5" borderId="26" xfId="0" applyNumberFormat="1" applyFont="1" applyFill="1" applyBorder="1"/>
    <xf numFmtId="0" fontId="5" fillId="5" borderId="27" xfId="0" applyFont="1" applyFill="1" applyBorder="1" applyAlignment="1">
      <alignment horizontal="left" indent="1"/>
    </xf>
    <xf numFmtId="165" fontId="5" fillId="5" borderId="28" xfId="0" applyNumberFormat="1" applyFont="1" applyFill="1" applyBorder="1"/>
    <xf numFmtId="165" fontId="5" fillId="5" borderId="29" xfId="0" applyNumberFormat="1" applyFont="1" applyFill="1" applyBorder="1"/>
    <xf numFmtId="0" fontId="1" fillId="5" borderId="21" xfId="0" applyFont="1" applyFill="1" applyBorder="1" applyAlignment="1">
      <alignment horizontal="center" vertical="center"/>
    </xf>
    <xf numFmtId="0" fontId="1" fillId="5" borderId="22" xfId="0" applyFont="1" applyFill="1" applyBorder="1" applyAlignment="1">
      <alignment horizontal="right"/>
    </xf>
    <xf numFmtId="9" fontId="0" fillId="0" borderId="0" xfId="1" applyFont="1"/>
    <xf numFmtId="0" fontId="0" fillId="3" borderId="0" xfId="0" applyFill="1" applyAlignment="1"/>
    <xf numFmtId="0" fontId="8" fillId="3" borderId="0" xfId="0" applyFont="1" applyFill="1" applyAlignment="1">
      <alignment horizontal="center" vertical="center"/>
    </xf>
    <xf numFmtId="0" fontId="7" fillId="3" borderId="0" xfId="0" applyFont="1" applyFill="1" applyAlignment="1">
      <alignment horizontal="center"/>
    </xf>
  </cellXfs>
  <cellStyles count="2">
    <cellStyle name="Normal" xfId="0" builtinId="0"/>
    <cellStyle name="Percent" xfId="1" builtinId="5"/>
  </cellStyles>
  <dxfs count="19">
    <dxf>
      <fill>
        <patternFill>
          <bgColor theme="8" tint="0.39994506668294322"/>
        </patternFill>
      </fill>
      <border>
        <left/>
        <right/>
        <vertical/>
        <horizontal/>
      </border>
    </dxf>
    <dxf>
      <fill>
        <patternFill patternType="solid">
          <bgColor theme="9"/>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8"/>
    </tableStyle>
    <tableStyle name="SlicerStyleLight5 2" pivot="0" table="0" count="10" xr9:uid="{1D57AA21-1641-493E-8022-3D86EB10B468}">
      <tableStyleElement type="wholeTable" dxfId="17"/>
      <tableStyleElement type="headerRow"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connections" Target="connections.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eetMetadata" Target="metadata.xml"/><Relationship Id="rId28" Type="http://schemas.openxmlformats.org/officeDocument/2006/relationships/powerPivotData" Target="model/item.data"/><Relationship Id="rId10" Type="http://schemas.openxmlformats.org/officeDocument/2006/relationships/pivotCacheDefinition" Target="pivotCache/pivotCacheDefinition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Data Analysis Using Excel.xlsx]Sheet2!PivotTable2</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40000"/>
                  <a:lumOff val="60000"/>
                </a:schemeClr>
              </a:gs>
              <a:gs pos="100000">
                <a:schemeClr val="accent6"/>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Sheet2!$G$24</c:f>
              <c:strCache>
                <c:ptCount val="1"/>
                <c:pt idx="0">
                  <c:v>Total</c:v>
                </c:pt>
              </c:strCache>
            </c:strRef>
          </c:tx>
          <c:spPr>
            <a:gradFill flip="none" rotWithShape="1">
              <a:gsLst>
                <a:gs pos="0">
                  <a:schemeClr val="accent5">
                    <a:lumMod val="40000"/>
                    <a:lumOff val="60000"/>
                  </a:schemeClr>
                </a:gs>
                <a:gs pos="100000">
                  <a:schemeClr val="accent6"/>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Sheet2!$F$25:$F$32</c:f>
              <c:strCache>
                <c:ptCount val="7"/>
                <c:pt idx="0">
                  <c:v>Monday</c:v>
                </c:pt>
                <c:pt idx="1">
                  <c:v>Tuesday</c:v>
                </c:pt>
                <c:pt idx="2">
                  <c:v>Wednesday</c:v>
                </c:pt>
                <c:pt idx="3">
                  <c:v>Thursday</c:v>
                </c:pt>
                <c:pt idx="4">
                  <c:v>Friday</c:v>
                </c:pt>
                <c:pt idx="5">
                  <c:v>Saturday</c:v>
                </c:pt>
                <c:pt idx="6">
                  <c:v>Sunday</c:v>
                </c:pt>
              </c:strCache>
            </c:strRef>
          </c:cat>
          <c:val>
            <c:numRef>
              <c:f>Sheet2!$G$25:$G$32</c:f>
              <c:numCache>
                <c:formatCode>#,##0</c:formatCode>
                <c:ptCount val="7"/>
                <c:pt idx="0">
                  <c:v>30</c:v>
                </c:pt>
                <c:pt idx="1">
                  <c:v>13</c:v>
                </c:pt>
                <c:pt idx="2">
                  <c:v>23</c:v>
                </c:pt>
                <c:pt idx="3">
                  <c:v>23</c:v>
                </c:pt>
                <c:pt idx="4">
                  <c:v>24</c:v>
                </c:pt>
                <c:pt idx="5">
                  <c:v>40</c:v>
                </c:pt>
                <c:pt idx="6">
                  <c:v>36</c:v>
                </c:pt>
              </c:numCache>
            </c:numRef>
          </c:val>
          <c:extLst>
            <c:ext xmlns:c16="http://schemas.microsoft.com/office/drawing/2014/chart" uri="{C3380CC4-5D6E-409C-BE32-E72D297353CC}">
              <c16:uniqueId val="{00000000-8914-4CE6-872C-5B242028F7F8}"/>
            </c:ext>
          </c:extLst>
        </c:ser>
        <c:dLbls>
          <c:dLblPos val="outEnd"/>
          <c:showLegendKey val="0"/>
          <c:showVal val="1"/>
          <c:showCatName val="0"/>
          <c:showSerName val="0"/>
          <c:showPercent val="0"/>
          <c:showBubbleSize val="0"/>
        </c:dLbls>
        <c:gapWidth val="25"/>
        <c:axId val="1028405440"/>
        <c:axId val="887324608"/>
      </c:barChart>
      <c:catAx>
        <c:axId val="10284054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324608"/>
        <c:crosses val="autoZero"/>
        <c:auto val="1"/>
        <c:lblAlgn val="ctr"/>
        <c:lblOffset val="100"/>
        <c:noMultiLvlLbl val="0"/>
      </c:catAx>
      <c:valAx>
        <c:axId val="887324608"/>
        <c:scaling>
          <c:orientation val="minMax"/>
        </c:scaling>
        <c:delete val="1"/>
        <c:axPos val="b"/>
        <c:numFmt formatCode="#,##0" sourceLinked="1"/>
        <c:majorTickMark val="out"/>
        <c:minorTickMark val="none"/>
        <c:tickLblPos val="nextTo"/>
        <c:crossAx val="1028405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Data Analysis Using Excel.xlsx]Sheet2!PivotTable1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solidFill>
                  <a:schemeClr val="accent6"/>
                </a:solidFill>
              </a:rPr>
              <a:t>CALL TREND</a:t>
            </a:r>
          </a:p>
        </c:rich>
      </c:tx>
      <c:layout>
        <c:manualLayout>
          <c:xMode val="edge"/>
          <c:yMode val="edge"/>
          <c:x val="1.9396551724137932E-2"/>
          <c:y val="2.300437083045778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5">
                  <a:lumMod val="60000"/>
                  <a:lumOff val="40000"/>
                  <a:alpha val="50000"/>
                </a:schemeClr>
              </a:gs>
              <a:gs pos="100000">
                <a:schemeClr val="accent6"/>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Sheet2!$C$24</c:f>
              <c:strCache>
                <c:ptCount val="1"/>
                <c:pt idx="0">
                  <c:v>Call Count2</c:v>
                </c:pt>
              </c:strCache>
            </c:strRef>
          </c:tx>
          <c:spPr>
            <a:gradFill>
              <a:gsLst>
                <a:gs pos="0">
                  <a:schemeClr val="accent5">
                    <a:lumMod val="60000"/>
                    <a:lumOff val="40000"/>
                    <a:alpha val="50000"/>
                  </a:schemeClr>
                </a:gs>
                <a:gs pos="100000">
                  <a:schemeClr val="accent6"/>
                </a:gs>
              </a:gsLst>
              <a:lin ang="5400000" scaled="1"/>
            </a:gradFill>
            <a:ln>
              <a:noFill/>
            </a:ln>
            <a:effectLst/>
          </c:spPr>
          <c:cat>
            <c:strRef>
              <c:f>Sheet2!$A$25:$A$37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Sheet2!$C$25:$C$37</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6509-4112-B4C7-64437E2A8229}"/>
            </c:ext>
          </c:extLst>
        </c:ser>
        <c:dLbls>
          <c:showLegendKey val="0"/>
          <c:showVal val="0"/>
          <c:showCatName val="0"/>
          <c:showSerName val="0"/>
          <c:showPercent val="0"/>
          <c:showBubbleSize val="0"/>
        </c:dLbls>
        <c:axId val="1616223152"/>
        <c:axId val="1616220752"/>
      </c:areaChart>
      <c:lineChart>
        <c:grouping val="standard"/>
        <c:varyColors val="0"/>
        <c:ser>
          <c:idx val="0"/>
          <c:order val="0"/>
          <c:tx>
            <c:strRef>
              <c:f>Sheet2!$B$24</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solidFill>
              </a:ln>
              <a:effectLst/>
            </c:spPr>
          </c:marker>
          <c:cat>
            <c:strRef>
              <c:f>Sheet2!$A$25:$A$37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Sheet2!$B$25:$B$37</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6509-4112-B4C7-64437E2A8229}"/>
            </c:ext>
          </c:extLst>
        </c:ser>
        <c:dLbls>
          <c:showLegendKey val="0"/>
          <c:showVal val="0"/>
          <c:showCatName val="0"/>
          <c:showSerName val="0"/>
          <c:showPercent val="0"/>
          <c:showBubbleSize val="0"/>
        </c:dLbls>
        <c:marker val="1"/>
        <c:smooth val="0"/>
        <c:axId val="1616223152"/>
        <c:axId val="1616220752"/>
      </c:lineChart>
      <c:catAx>
        <c:axId val="161622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220752"/>
        <c:crosses val="autoZero"/>
        <c:auto val="1"/>
        <c:lblAlgn val="ctr"/>
        <c:lblOffset val="100"/>
        <c:noMultiLvlLbl val="0"/>
      </c:catAx>
      <c:valAx>
        <c:axId val="16162207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223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r>
              <a:rPr lang="en-IN" b="1">
                <a:solidFill>
                  <a:schemeClr val="accent6"/>
                </a:solidFill>
              </a:rPr>
              <a:t>CALLS</a:t>
            </a:r>
          </a:p>
        </c:rich>
      </c:tx>
      <c:layout>
        <c:manualLayout>
          <c:xMode val="edge"/>
          <c:yMode val="edge"/>
          <c:x val="5.3481722069769803E-2"/>
          <c:y val="3.23852501760576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Sheet2!$F$48:$F$52</c:f>
              <c:strCache>
                <c:ptCount val="5"/>
                <c:pt idx="0">
                  <c:v>R01</c:v>
                </c:pt>
                <c:pt idx="1">
                  <c:v>R02</c:v>
                </c:pt>
                <c:pt idx="2">
                  <c:v>R03</c:v>
                </c:pt>
                <c:pt idx="3">
                  <c:v>R04</c:v>
                </c:pt>
                <c:pt idx="4">
                  <c:v>R05</c:v>
                </c:pt>
              </c:strCache>
            </c:strRef>
          </c:cat>
          <c:val>
            <c:numRef>
              <c:f>Sheet2!$G$48:$G$52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D4E-4040-99B2-2FEAB58750A7}"/>
            </c:ext>
          </c:extLst>
        </c:ser>
        <c:ser>
          <c:idx val="1"/>
          <c:order val="1"/>
          <c:tx>
            <c:strRef>
              <c:f>Sheet2!$I$47</c:f>
              <c:strCache>
                <c:ptCount val="1"/>
                <c:pt idx="0">
                  <c:v>SEL CALLS</c:v>
                </c:pt>
              </c:strCache>
            </c:strRef>
          </c:tx>
          <c:spPr>
            <a:gradFill>
              <a:gsLst>
                <a:gs pos="0">
                  <a:schemeClr val="accent5">
                    <a:lumMod val="40000"/>
                    <a:lumOff val="60000"/>
                  </a:schemeClr>
                </a:gs>
                <a:gs pos="100000">
                  <a:schemeClr val="accent6"/>
                </a:gs>
              </a:gsLst>
              <a:lin ang="10800000" scaled="1"/>
            </a:gradFill>
            <a:ln>
              <a:noFill/>
            </a:ln>
            <a:effectLst/>
          </c:spPr>
          <c:invertIfNegative val="0"/>
          <c:val>
            <c:numRef>
              <c:f>Sheet2!$I$48:$I$52</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8D4E-4040-99B2-2FEAB58750A7}"/>
            </c:ext>
          </c:extLst>
        </c:ser>
        <c:dLbls>
          <c:showLegendKey val="0"/>
          <c:showVal val="0"/>
          <c:showCatName val="0"/>
          <c:showSerName val="0"/>
          <c:showPercent val="0"/>
          <c:showBubbleSize val="0"/>
        </c:dLbls>
        <c:gapWidth val="25"/>
        <c:overlap val="100"/>
        <c:axId val="1064718608"/>
        <c:axId val="1064721968"/>
      </c:barChart>
      <c:catAx>
        <c:axId val="106471860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721968"/>
        <c:crosses val="autoZero"/>
        <c:auto val="1"/>
        <c:lblAlgn val="ctr"/>
        <c:lblOffset val="100"/>
        <c:noMultiLvlLbl val="0"/>
      </c:catAx>
      <c:valAx>
        <c:axId val="1064721968"/>
        <c:scaling>
          <c:orientation val="minMax"/>
          <c:min val="0"/>
        </c:scaling>
        <c:delete val="1"/>
        <c:axPos val="t"/>
        <c:numFmt formatCode="General" sourceLinked="1"/>
        <c:majorTickMark val="out"/>
        <c:minorTickMark val="none"/>
        <c:tickLblPos val="nextTo"/>
        <c:crossAx val="1064718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r>
              <a:rPr lang="en-IN" b="1">
                <a:solidFill>
                  <a:schemeClr val="accent6"/>
                </a:solidFill>
              </a:rPr>
              <a:t>AMOUNT</a:t>
            </a:r>
          </a:p>
        </c:rich>
      </c:tx>
      <c:layout>
        <c:manualLayout>
          <c:xMode val="edge"/>
          <c:yMode val="edge"/>
          <c:x val="5.0680385515152949E-2"/>
          <c:y val="3.243801019626273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Sheet2!$F$48:$F$52</c:f>
              <c:strCache>
                <c:ptCount val="5"/>
                <c:pt idx="0">
                  <c:v>R01</c:v>
                </c:pt>
                <c:pt idx="1">
                  <c:v>R02</c:v>
                </c:pt>
                <c:pt idx="2">
                  <c:v>R03</c:v>
                </c:pt>
                <c:pt idx="3">
                  <c:v>R04</c:v>
                </c:pt>
                <c:pt idx="4">
                  <c:v>R05</c:v>
                </c:pt>
              </c:strCache>
            </c:strRef>
          </c:cat>
          <c:val>
            <c:numRef>
              <c:f>Sheet2!$H$48:$H$52</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0CF3-4C57-BD02-82B82B955478}"/>
            </c:ext>
          </c:extLst>
        </c:ser>
        <c:ser>
          <c:idx val="1"/>
          <c:order val="1"/>
          <c:tx>
            <c:strRef>
              <c:f>Sheet2!$J$47</c:f>
              <c:strCache>
                <c:ptCount val="1"/>
                <c:pt idx="0">
                  <c:v>SEL AMOUNT</c:v>
                </c:pt>
              </c:strCache>
            </c:strRef>
          </c:tx>
          <c:spPr>
            <a:gradFill>
              <a:gsLst>
                <a:gs pos="0">
                  <a:schemeClr val="accent5">
                    <a:lumMod val="40000"/>
                    <a:lumOff val="60000"/>
                  </a:schemeClr>
                </a:gs>
                <a:gs pos="100000">
                  <a:schemeClr val="accent6"/>
                </a:gs>
              </a:gsLst>
              <a:lin ang="10800000" scaled="1"/>
            </a:gradFill>
            <a:ln>
              <a:noFill/>
            </a:ln>
            <a:effectLst/>
          </c:spPr>
          <c:invertIfNegative val="0"/>
          <c:val>
            <c:numRef>
              <c:f>Sheet2!$J$48:$J$52</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0CF3-4C57-BD02-82B82B955478}"/>
            </c:ext>
          </c:extLst>
        </c:ser>
        <c:dLbls>
          <c:showLegendKey val="0"/>
          <c:showVal val="0"/>
          <c:showCatName val="0"/>
          <c:showSerName val="0"/>
          <c:showPercent val="0"/>
          <c:showBubbleSize val="0"/>
        </c:dLbls>
        <c:gapWidth val="25"/>
        <c:overlap val="100"/>
        <c:axId val="1064718608"/>
        <c:axId val="1064721968"/>
      </c:barChart>
      <c:catAx>
        <c:axId val="106471860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721968"/>
        <c:crosses val="autoZero"/>
        <c:auto val="1"/>
        <c:lblAlgn val="ctr"/>
        <c:lblOffset val="100"/>
        <c:noMultiLvlLbl val="0"/>
      </c:catAx>
      <c:valAx>
        <c:axId val="1064721968"/>
        <c:scaling>
          <c:orientation val="minMax"/>
        </c:scaling>
        <c:delete val="1"/>
        <c:axPos val="t"/>
        <c:numFmt formatCode="\$#,###.0,&quot;K&quot;" sourceLinked="1"/>
        <c:majorTickMark val="out"/>
        <c:minorTickMark val="none"/>
        <c:tickLblPos val="nextTo"/>
        <c:crossAx val="1064718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Data Analysis Using Excel.xlsx]Sheet2!PivotTable6</c:name>
    <c:fmtId val="4"/>
  </c:pivotSource>
  <c:chart>
    <c:title>
      <c:tx>
        <c:rich>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r>
              <a:rPr lang="en-IN" b="1">
                <a:solidFill>
                  <a:schemeClr val="accent5"/>
                </a:solidFill>
              </a:rPr>
              <a:t>MALE</a:t>
            </a:r>
            <a:r>
              <a:rPr lang="en-IN" b="1">
                <a:solidFill>
                  <a:schemeClr val="accent6"/>
                </a:solidFill>
              </a:rPr>
              <a:t> </a:t>
            </a:r>
            <a:r>
              <a:rPr lang="en-IN" b="1">
                <a:solidFill>
                  <a:schemeClr val="tx1"/>
                </a:solidFill>
              </a:rPr>
              <a:t>vs</a:t>
            </a:r>
            <a:r>
              <a:rPr lang="en-IN" b="1">
                <a:solidFill>
                  <a:schemeClr val="accent6"/>
                </a:solidFill>
              </a:rPr>
              <a:t> </a:t>
            </a:r>
            <a:r>
              <a:rPr lang="en-IN" b="1">
                <a:solidFill>
                  <a:schemeClr val="accent4"/>
                </a:solidFill>
              </a:rPr>
              <a:t>FEMALE </a:t>
            </a:r>
            <a:r>
              <a:rPr lang="en-IN" b="1">
                <a:solidFill>
                  <a:schemeClr val="tx1"/>
                </a:solidFill>
              </a:rPr>
              <a:t>CALLERS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gs>
              <a:gs pos="100000">
                <a:schemeClr val="accent5">
                  <a:lumMod val="60000"/>
                  <a:lumOff val="40000"/>
                </a:schemeClr>
              </a:gs>
            </a:gsLst>
            <a:lin ang="5400000" scaled="1"/>
            <a:tileRect/>
          </a:gradFill>
          <a:ln>
            <a:noFill/>
          </a:ln>
          <a:effectLst/>
        </c:spPr>
        <c:marker>
          <c:symbol val="none"/>
        </c:marker>
        <c:dLbl>
          <c:idx val="0"/>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Sheet2!$B$80:$B$81</c:f>
              <c:strCache>
                <c:ptCount val="1"/>
                <c:pt idx="0">
                  <c:v>Female</c:v>
                </c:pt>
              </c:strCache>
            </c:strRef>
          </c:tx>
          <c:spPr>
            <a:gradFill flip="none" rotWithShape="1">
              <a:gsLst>
                <a:gs pos="0">
                  <a:schemeClr val="accent5"/>
                </a:gs>
                <a:gs pos="100000">
                  <a:schemeClr val="accent5">
                    <a:lumMod val="60000"/>
                    <a:lumOff val="40000"/>
                  </a:schemeClr>
                </a:gs>
              </a:gsLst>
              <a:lin ang="5400000" scaled="1"/>
              <a:tileRect/>
            </a:gradFill>
            <a:ln>
              <a:noFill/>
            </a:ln>
            <a:effectLst/>
          </c:spPr>
          <c:invertIfNegative val="0"/>
          <c:dLbls>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Sheet2!$A$82:$A$85</c:f>
              <c:strCache>
                <c:ptCount val="3"/>
                <c:pt idx="0">
                  <c:v>Cincinnati</c:v>
                </c:pt>
                <c:pt idx="1">
                  <c:v>Cleveland</c:v>
                </c:pt>
                <c:pt idx="2">
                  <c:v>Columbus</c:v>
                </c:pt>
              </c:strCache>
            </c:strRef>
          </c:cat>
          <c:val>
            <c:numRef>
              <c:f>Sheet2!$B$82:$B$85</c:f>
              <c:numCache>
                <c:formatCode>#,##0</c:formatCode>
                <c:ptCount val="3"/>
                <c:pt idx="0">
                  <c:v>144</c:v>
                </c:pt>
                <c:pt idx="1">
                  <c:v>326</c:v>
                </c:pt>
                <c:pt idx="2">
                  <c:v>129</c:v>
                </c:pt>
              </c:numCache>
            </c:numRef>
          </c:val>
          <c:extLst>
            <c:ext xmlns:c16="http://schemas.microsoft.com/office/drawing/2014/chart" uri="{C3380CC4-5D6E-409C-BE32-E72D297353CC}">
              <c16:uniqueId val="{00000000-DE4C-4C32-A30E-B596D371282E}"/>
            </c:ext>
          </c:extLst>
        </c:ser>
        <c:ser>
          <c:idx val="1"/>
          <c:order val="1"/>
          <c:tx>
            <c:strRef>
              <c:f>Sheet2!$C$80:$C$81</c:f>
              <c:strCache>
                <c:ptCount val="1"/>
                <c:pt idx="0">
                  <c:v>Male</c:v>
                </c:pt>
              </c:strCache>
            </c:strRef>
          </c:tx>
          <c:spPr>
            <a:solidFill>
              <a:schemeClr val="accent4"/>
            </a:solidFill>
            <a:ln>
              <a:noFill/>
            </a:ln>
            <a:effectLst/>
          </c:spPr>
          <c:invertIfNegative val="0"/>
          <c:dLbls>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Sheet2!$A$82:$A$85</c:f>
              <c:strCache>
                <c:ptCount val="3"/>
                <c:pt idx="0">
                  <c:v>Cincinnati</c:v>
                </c:pt>
                <c:pt idx="1">
                  <c:v>Cleveland</c:v>
                </c:pt>
                <c:pt idx="2">
                  <c:v>Columbus</c:v>
                </c:pt>
              </c:strCache>
            </c:strRef>
          </c:cat>
          <c:val>
            <c:numRef>
              <c:f>Sheet2!$C$82:$C$85</c:f>
              <c:numCache>
                <c:formatCode>#,##0</c:formatCode>
                <c:ptCount val="3"/>
                <c:pt idx="0">
                  <c:v>132</c:v>
                </c:pt>
                <c:pt idx="1">
                  <c:v>63</c:v>
                </c:pt>
                <c:pt idx="2">
                  <c:v>206</c:v>
                </c:pt>
              </c:numCache>
            </c:numRef>
          </c:val>
          <c:extLst>
            <c:ext xmlns:c16="http://schemas.microsoft.com/office/drawing/2014/chart" uri="{C3380CC4-5D6E-409C-BE32-E72D297353CC}">
              <c16:uniqueId val="{00000001-DE4C-4C32-A30E-B596D371282E}"/>
            </c:ext>
          </c:extLst>
        </c:ser>
        <c:dLbls>
          <c:showLegendKey val="0"/>
          <c:showVal val="0"/>
          <c:showCatName val="0"/>
          <c:showSerName val="0"/>
          <c:showPercent val="0"/>
          <c:showBubbleSize val="0"/>
        </c:dLbls>
        <c:gapWidth val="25"/>
        <c:overlap val="100"/>
        <c:axId val="1017559088"/>
        <c:axId val="1017560048"/>
      </c:barChart>
      <c:catAx>
        <c:axId val="101755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560048"/>
        <c:crosses val="autoZero"/>
        <c:auto val="1"/>
        <c:lblAlgn val="ctr"/>
        <c:lblOffset val="100"/>
        <c:noMultiLvlLbl val="0"/>
      </c:catAx>
      <c:valAx>
        <c:axId val="1017560048"/>
        <c:scaling>
          <c:orientation val="minMax"/>
        </c:scaling>
        <c:delete val="1"/>
        <c:axPos val="l"/>
        <c:numFmt formatCode="0%" sourceLinked="1"/>
        <c:majorTickMark val="none"/>
        <c:minorTickMark val="none"/>
        <c:tickLblPos val="nextTo"/>
        <c:crossAx val="1017559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Data Analysis Using Excel.xlsx]Sheet2!PivotTable7</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accent6"/>
                </a:solidFill>
              </a:rPr>
              <a:t>RATING</a:t>
            </a:r>
          </a:p>
        </c:rich>
      </c:tx>
      <c:layout>
        <c:manualLayout>
          <c:xMode val="edge"/>
          <c:yMode val="edge"/>
          <c:x val="0.63971165445659706"/>
          <c:y val="3.072690915117518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Sheet2!$B$91</c:f>
              <c:strCache>
                <c:ptCount val="1"/>
                <c:pt idx="0">
                  <c:v>Total</c:v>
                </c:pt>
              </c:strCache>
            </c:strRef>
          </c:tx>
          <c:spPr>
            <a:solidFill>
              <a:schemeClr val="accent5"/>
            </a:solidFill>
            <a:ln>
              <a:noFill/>
            </a:ln>
            <a:effectLst/>
          </c:spPr>
          <c:invertIfNegative val="0"/>
          <c:cat>
            <c:strRef>
              <c:f>Sheet2!$A$92:$A$97</c:f>
              <c:strCache>
                <c:ptCount val="5"/>
                <c:pt idx="0">
                  <c:v>1</c:v>
                </c:pt>
                <c:pt idx="1">
                  <c:v>2</c:v>
                </c:pt>
                <c:pt idx="2">
                  <c:v>3</c:v>
                </c:pt>
                <c:pt idx="3">
                  <c:v>4</c:v>
                </c:pt>
                <c:pt idx="4">
                  <c:v>5</c:v>
                </c:pt>
              </c:strCache>
            </c:strRef>
          </c:cat>
          <c:val>
            <c:numRef>
              <c:f>Sheet2!$B$92:$B$97</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05EC-4F1C-B1DA-091696023917}"/>
            </c:ext>
          </c:extLst>
        </c:ser>
        <c:dLbls>
          <c:showLegendKey val="0"/>
          <c:showVal val="0"/>
          <c:showCatName val="0"/>
          <c:showSerName val="0"/>
          <c:showPercent val="0"/>
          <c:showBubbleSize val="0"/>
        </c:dLbls>
        <c:gapWidth val="10"/>
        <c:overlap val="-27"/>
        <c:axId val="830871504"/>
        <c:axId val="830860944"/>
      </c:barChart>
      <c:catAx>
        <c:axId val="83087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860944"/>
        <c:crosses val="autoZero"/>
        <c:auto val="1"/>
        <c:lblAlgn val="ctr"/>
        <c:lblOffset val="100"/>
        <c:noMultiLvlLbl val="0"/>
      </c:catAx>
      <c:valAx>
        <c:axId val="8308609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871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6.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1.xml"/><Relationship Id="rId5" Type="http://schemas.openxmlformats.org/officeDocument/2006/relationships/image" Target="../media/image10.png"/><Relationship Id="rId15" Type="http://schemas.openxmlformats.org/officeDocument/2006/relationships/chart" Target="../charts/chart5.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6</xdr:row>
      <xdr:rowOff>49922</xdr:rowOff>
    </xdr:from>
    <xdr:to>
      <xdr:col>3</xdr:col>
      <xdr:colOff>283845</xdr:colOff>
      <xdr:row>9</xdr:row>
      <xdr:rowOff>143266</xdr:rowOff>
    </xdr:to>
    <xdr:sp macro="" textlink="Sheet2!A4">
      <xdr:nvSpPr>
        <xdr:cNvPr id="2" name="Rectangle 1">
          <a:extLst>
            <a:ext uri="{FF2B5EF4-FFF2-40B4-BE49-F238E27FC236}">
              <a16:creationId xmlns:a16="http://schemas.microsoft.com/office/drawing/2014/main" id="{5BAEE931-04D2-0EC3-23A1-838A2DE3EA51}"/>
            </a:ext>
          </a:extLst>
        </xdr:cNvPr>
        <xdr:cNvSpPr/>
      </xdr:nvSpPr>
      <xdr:spPr>
        <a:xfrm>
          <a:off x="585107" y="1111279"/>
          <a:ext cx="950595" cy="624023"/>
        </a:xfrm>
        <a:prstGeom prst="rect">
          <a:avLst/>
        </a:prstGeom>
        <a:effectLst>
          <a:outerShdw blurRad="254000" dist="38100" dir="2700000" algn="tl"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fld id="{333DA45A-DE88-4888-BC5F-EF2708F13824}" type="TxLink">
            <a:rPr lang="en-US" sz="2000" b="0" i="0" u="none" strike="noStrike">
              <a:solidFill>
                <a:schemeClr val="bg1"/>
              </a:solidFill>
              <a:latin typeface="+mj-lt"/>
            </a:rPr>
            <a:pPr algn="ctr"/>
            <a:t>1,000</a:t>
          </a:fld>
          <a:endParaRPr lang="en-IN" sz="2000">
            <a:solidFill>
              <a:schemeClr val="bg1"/>
            </a:solidFill>
            <a:latin typeface="+mj-lt"/>
          </a:endParaRPr>
        </a:p>
      </xdr:txBody>
    </xdr:sp>
    <xdr:clientData/>
  </xdr:twoCellAnchor>
  <xdr:twoCellAnchor>
    <xdr:from>
      <xdr:col>2</xdr:col>
      <xdr:colOff>187135</xdr:colOff>
      <xdr:row>6</xdr:row>
      <xdr:rowOff>71704</xdr:rowOff>
    </xdr:from>
    <xdr:to>
      <xdr:col>3</xdr:col>
      <xdr:colOff>98244</xdr:colOff>
      <xdr:row>7</xdr:row>
      <xdr:rowOff>71704</xdr:rowOff>
    </xdr:to>
    <xdr:sp macro="" textlink="">
      <xdr:nvSpPr>
        <xdr:cNvPr id="5" name="Rectangle 4">
          <a:extLst>
            <a:ext uri="{FF2B5EF4-FFF2-40B4-BE49-F238E27FC236}">
              <a16:creationId xmlns:a16="http://schemas.microsoft.com/office/drawing/2014/main" id="{3908C092-2543-1E04-DAC0-813A1B9DCBB7}"/>
            </a:ext>
          </a:extLst>
        </xdr:cNvPr>
        <xdr:cNvSpPr/>
      </xdr:nvSpPr>
      <xdr:spPr>
        <a:xfrm>
          <a:off x="772242" y="1133061"/>
          <a:ext cx="577859" cy="1768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00">
              <a:solidFill>
                <a:schemeClr val="bg1"/>
              </a:solidFill>
              <a:latin typeface="+mj-lt"/>
            </a:rPr>
            <a:t>CALLS</a:t>
          </a:r>
        </a:p>
      </xdr:txBody>
    </xdr:sp>
    <xdr:clientData/>
  </xdr:twoCellAnchor>
  <xdr:twoCellAnchor editAs="oneCell">
    <xdr:from>
      <xdr:col>2</xdr:col>
      <xdr:colOff>34290</xdr:colOff>
      <xdr:row>6</xdr:row>
      <xdr:rowOff>89927</xdr:rowOff>
    </xdr:from>
    <xdr:to>
      <xdr:col>2</xdr:col>
      <xdr:colOff>167640</xdr:colOff>
      <xdr:row>7</xdr:row>
      <xdr:rowOff>54305</xdr:rowOff>
    </xdr:to>
    <xdr:pic>
      <xdr:nvPicPr>
        <xdr:cNvPr id="6" name="Graphic 5" descr="Receiver with solid fill">
          <a:extLst>
            <a:ext uri="{FF2B5EF4-FFF2-40B4-BE49-F238E27FC236}">
              <a16:creationId xmlns:a16="http://schemas.microsoft.com/office/drawing/2014/main" id="{1B580D3A-9F73-4877-8206-78DD3032A5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9397" y="1151284"/>
          <a:ext cx="137160" cy="133651"/>
        </a:xfrm>
        <a:prstGeom prst="rect">
          <a:avLst/>
        </a:prstGeom>
      </xdr:spPr>
    </xdr:pic>
    <xdr:clientData/>
  </xdr:twoCellAnchor>
  <xdr:twoCellAnchor>
    <xdr:from>
      <xdr:col>2</xdr:col>
      <xdr:colOff>243840</xdr:colOff>
      <xdr:row>9</xdr:row>
      <xdr:rowOff>2568</xdr:rowOff>
    </xdr:from>
    <xdr:to>
      <xdr:col>3</xdr:col>
      <xdr:colOff>76200</xdr:colOff>
      <xdr:row>9</xdr:row>
      <xdr:rowOff>107071</xdr:rowOff>
    </xdr:to>
    <xdr:sp macro="" textlink="Sheet2!A10">
      <xdr:nvSpPr>
        <xdr:cNvPr id="7" name="TextBox 6">
          <a:extLst>
            <a:ext uri="{FF2B5EF4-FFF2-40B4-BE49-F238E27FC236}">
              <a16:creationId xmlns:a16="http://schemas.microsoft.com/office/drawing/2014/main" id="{F9B46736-650E-70B1-F34A-8A1492514498}"/>
            </a:ext>
          </a:extLst>
        </xdr:cNvPr>
        <xdr:cNvSpPr txBox="1"/>
      </xdr:nvSpPr>
      <xdr:spPr>
        <a:xfrm>
          <a:off x="828947" y="1594604"/>
          <a:ext cx="499110" cy="104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791AE5-FB5B-40A7-9445-404846F89F54}" type="TxLink">
            <a:rPr lang="en-US" sz="800" b="0" i="0" u="none" strike="noStrike">
              <a:solidFill>
                <a:schemeClr val="accent5">
                  <a:lumMod val="20000"/>
                  <a:lumOff val="80000"/>
                </a:schemeClr>
              </a:solidFill>
              <a:latin typeface="+mj-lt"/>
            </a:rPr>
            <a:pPr algn="ctr"/>
            <a:t>189</a:t>
          </a:fld>
          <a:endParaRPr lang="en-IN" sz="800">
            <a:solidFill>
              <a:schemeClr val="accent5">
                <a:lumMod val="20000"/>
                <a:lumOff val="80000"/>
              </a:schemeClr>
            </a:solidFill>
            <a:latin typeface="+mj-lt"/>
          </a:endParaRPr>
        </a:p>
      </xdr:txBody>
    </xdr:sp>
    <xdr:clientData/>
  </xdr:twoCellAnchor>
  <xdr:twoCellAnchor>
    <xdr:from>
      <xdr:col>2</xdr:col>
      <xdr:colOff>0</xdr:colOff>
      <xdr:row>14</xdr:row>
      <xdr:rowOff>49921</xdr:rowOff>
    </xdr:from>
    <xdr:to>
      <xdr:col>3</xdr:col>
      <xdr:colOff>283845</xdr:colOff>
      <xdr:row>17</xdr:row>
      <xdr:rowOff>143266</xdr:rowOff>
    </xdr:to>
    <xdr:sp macro="" textlink="Sheet2!B4">
      <xdr:nvSpPr>
        <xdr:cNvPr id="8" name="Rectangle 7">
          <a:extLst>
            <a:ext uri="{FF2B5EF4-FFF2-40B4-BE49-F238E27FC236}">
              <a16:creationId xmlns:a16="http://schemas.microsoft.com/office/drawing/2014/main" id="{9A28E0C4-59A6-47A3-8EE0-79D0780A6BE7}"/>
            </a:ext>
          </a:extLst>
        </xdr:cNvPr>
        <xdr:cNvSpPr/>
      </xdr:nvSpPr>
      <xdr:spPr>
        <a:xfrm>
          <a:off x="585107" y="2526421"/>
          <a:ext cx="950595" cy="624024"/>
        </a:xfrm>
        <a:prstGeom prst="rect">
          <a:avLst/>
        </a:prstGeom>
        <a:effectLst>
          <a:outerShdw blurRad="254000" dist="38100" dir="2700000" algn="tl"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E61CAAE9-9E72-431D-90DD-19338BF76702}" type="TxLink">
            <a:rPr lang="en-US" sz="2000" b="0" i="0" u="none" strike="noStrike">
              <a:solidFill>
                <a:schemeClr val="bg1"/>
              </a:solidFill>
              <a:latin typeface="+mj-lt"/>
              <a:ea typeface="+mn-ea"/>
              <a:cs typeface="+mn-cs"/>
            </a:rPr>
            <a:pPr marL="0" indent="0" algn="ctr"/>
            <a:t>$96,623</a:t>
          </a:fld>
          <a:endParaRPr lang="en-IN" sz="2000" b="0" i="0" u="none" strike="noStrike">
            <a:solidFill>
              <a:schemeClr val="bg1"/>
            </a:solidFill>
            <a:latin typeface="+mj-lt"/>
            <a:ea typeface="+mn-ea"/>
            <a:cs typeface="+mn-cs"/>
          </a:endParaRPr>
        </a:p>
      </xdr:txBody>
    </xdr:sp>
    <xdr:clientData/>
  </xdr:twoCellAnchor>
  <xdr:twoCellAnchor>
    <xdr:from>
      <xdr:col>2</xdr:col>
      <xdr:colOff>175049</xdr:colOff>
      <xdr:row>14</xdr:row>
      <xdr:rowOff>71703</xdr:rowOff>
    </xdr:from>
    <xdr:to>
      <xdr:col>3</xdr:col>
      <xdr:colOff>134337</xdr:colOff>
      <xdr:row>15</xdr:row>
      <xdr:rowOff>71705</xdr:rowOff>
    </xdr:to>
    <xdr:sp macro="" textlink="">
      <xdr:nvSpPr>
        <xdr:cNvPr id="9" name="Rectangle 8">
          <a:extLst>
            <a:ext uri="{FF2B5EF4-FFF2-40B4-BE49-F238E27FC236}">
              <a16:creationId xmlns:a16="http://schemas.microsoft.com/office/drawing/2014/main" id="{DC9D2AD5-18B9-4E28-9152-B0141BDDE592}"/>
            </a:ext>
          </a:extLst>
        </xdr:cNvPr>
        <xdr:cNvSpPr/>
      </xdr:nvSpPr>
      <xdr:spPr>
        <a:xfrm>
          <a:off x="760156" y="2548203"/>
          <a:ext cx="626038" cy="1768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00">
              <a:solidFill>
                <a:schemeClr val="bg1"/>
              </a:solidFill>
              <a:latin typeface="+mj-lt"/>
            </a:rPr>
            <a:t>AMOUNT</a:t>
          </a:r>
        </a:p>
      </xdr:txBody>
    </xdr:sp>
    <xdr:clientData/>
  </xdr:twoCellAnchor>
  <xdr:twoCellAnchor editAs="oneCell">
    <xdr:from>
      <xdr:col>2</xdr:col>
      <xdr:colOff>36044</xdr:colOff>
      <xdr:row>14</xdr:row>
      <xdr:rowOff>89926</xdr:rowOff>
    </xdr:from>
    <xdr:to>
      <xdr:col>2</xdr:col>
      <xdr:colOff>169695</xdr:colOff>
      <xdr:row>15</xdr:row>
      <xdr:rowOff>54304</xdr:rowOff>
    </xdr:to>
    <xdr:pic>
      <xdr:nvPicPr>
        <xdr:cNvPr id="10" name="Graphic 9">
          <a:extLst>
            <a:ext uri="{FF2B5EF4-FFF2-40B4-BE49-F238E27FC236}">
              <a16:creationId xmlns:a16="http://schemas.microsoft.com/office/drawing/2014/main" id="{9341FBF0-11FC-4F50-8072-32FD407151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621151" y="2566426"/>
          <a:ext cx="137461" cy="129841"/>
        </a:xfrm>
        <a:prstGeom prst="rect">
          <a:avLst/>
        </a:prstGeom>
      </xdr:spPr>
    </xdr:pic>
    <xdr:clientData/>
  </xdr:twoCellAnchor>
  <xdr:twoCellAnchor>
    <xdr:from>
      <xdr:col>2</xdr:col>
      <xdr:colOff>243840</xdr:colOff>
      <xdr:row>17</xdr:row>
      <xdr:rowOff>2569</xdr:rowOff>
    </xdr:from>
    <xdr:to>
      <xdr:col>3</xdr:col>
      <xdr:colOff>76200</xdr:colOff>
      <xdr:row>17</xdr:row>
      <xdr:rowOff>107071</xdr:rowOff>
    </xdr:to>
    <xdr:sp macro="" textlink="Sheet2!B10">
      <xdr:nvSpPr>
        <xdr:cNvPr id="11" name="TextBox 10">
          <a:extLst>
            <a:ext uri="{FF2B5EF4-FFF2-40B4-BE49-F238E27FC236}">
              <a16:creationId xmlns:a16="http://schemas.microsoft.com/office/drawing/2014/main" id="{304075AF-9394-4475-9283-BD6A686DB344}"/>
            </a:ext>
          </a:extLst>
        </xdr:cNvPr>
        <xdr:cNvSpPr txBox="1"/>
      </xdr:nvSpPr>
      <xdr:spPr>
        <a:xfrm>
          <a:off x="828947" y="3009748"/>
          <a:ext cx="499110" cy="104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7D9772D-944B-4326-985C-B33344AC30EB}" type="TxLink">
            <a:rPr lang="en-US" sz="800" b="0" i="0" u="none" strike="noStrike">
              <a:solidFill>
                <a:schemeClr val="accent5">
                  <a:lumMod val="20000"/>
                  <a:lumOff val="80000"/>
                </a:schemeClr>
              </a:solidFill>
              <a:latin typeface="+mj-lt"/>
              <a:ea typeface="+mn-ea"/>
              <a:cs typeface="+mn-cs"/>
            </a:rPr>
            <a:pPr marL="0" indent="0" algn="ctr"/>
            <a:t>$18,415</a:t>
          </a:fld>
          <a:endParaRPr lang="en-IN" sz="800" b="0" i="0" u="none" strike="noStrike">
            <a:solidFill>
              <a:schemeClr val="accent5">
                <a:lumMod val="20000"/>
                <a:lumOff val="80000"/>
              </a:schemeClr>
            </a:solidFill>
            <a:latin typeface="+mj-lt"/>
            <a:ea typeface="+mn-ea"/>
            <a:cs typeface="+mn-cs"/>
          </a:endParaRPr>
        </a:p>
      </xdr:txBody>
    </xdr:sp>
    <xdr:clientData/>
  </xdr:twoCellAnchor>
  <xdr:twoCellAnchor>
    <xdr:from>
      <xdr:col>2</xdr:col>
      <xdr:colOff>0</xdr:colOff>
      <xdr:row>21</xdr:row>
      <xdr:rowOff>128026</xdr:rowOff>
    </xdr:from>
    <xdr:to>
      <xdr:col>3</xdr:col>
      <xdr:colOff>283845</xdr:colOff>
      <xdr:row>25</xdr:row>
      <xdr:rowOff>49922</xdr:rowOff>
    </xdr:to>
    <xdr:sp macro="" textlink="Sheet2!C4">
      <xdr:nvSpPr>
        <xdr:cNvPr id="12" name="Rectangle 11">
          <a:extLst>
            <a:ext uri="{FF2B5EF4-FFF2-40B4-BE49-F238E27FC236}">
              <a16:creationId xmlns:a16="http://schemas.microsoft.com/office/drawing/2014/main" id="{5A3983A6-FB1F-4E95-BD39-417857235FE2}"/>
            </a:ext>
          </a:extLst>
        </xdr:cNvPr>
        <xdr:cNvSpPr/>
      </xdr:nvSpPr>
      <xdr:spPr>
        <a:xfrm>
          <a:off x="585107" y="3842776"/>
          <a:ext cx="950595" cy="629467"/>
        </a:xfrm>
        <a:prstGeom prst="rect">
          <a:avLst/>
        </a:prstGeom>
        <a:effectLst>
          <a:outerShdw blurRad="254000" dist="38100" dir="2700000" algn="tl"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994D1749-C148-4E1D-896F-D6817E29D1EE}" type="TxLink">
            <a:rPr lang="en-US" sz="2000" b="0" i="0" u="none" strike="noStrike">
              <a:solidFill>
                <a:schemeClr val="bg1"/>
              </a:solidFill>
              <a:latin typeface="+mj-lt"/>
              <a:ea typeface="+mn-ea"/>
              <a:cs typeface="+mn-cs"/>
            </a:rPr>
            <a:pPr marL="0" indent="0" algn="ctr"/>
            <a:t>89,850</a:t>
          </a:fld>
          <a:endParaRPr lang="en-IN" sz="2000" b="0" i="0" u="none" strike="noStrike">
            <a:solidFill>
              <a:schemeClr val="bg1"/>
            </a:solidFill>
            <a:latin typeface="+mj-lt"/>
            <a:ea typeface="+mn-ea"/>
            <a:cs typeface="+mn-cs"/>
          </a:endParaRPr>
        </a:p>
      </xdr:txBody>
    </xdr:sp>
    <xdr:clientData/>
  </xdr:twoCellAnchor>
  <xdr:twoCellAnchor>
    <xdr:from>
      <xdr:col>2</xdr:col>
      <xdr:colOff>168480</xdr:colOff>
      <xdr:row>21</xdr:row>
      <xdr:rowOff>157428</xdr:rowOff>
    </xdr:from>
    <xdr:to>
      <xdr:col>3</xdr:col>
      <xdr:colOff>186691</xdr:colOff>
      <xdr:row>22</xdr:row>
      <xdr:rowOff>157429</xdr:rowOff>
    </xdr:to>
    <xdr:sp macro="" textlink="">
      <xdr:nvSpPr>
        <xdr:cNvPr id="13" name="Rectangle 12">
          <a:extLst>
            <a:ext uri="{FF2B5EF4-FFF2-40B4-BE49-F238E27FC236}">
              <a16:creationId xmlns:a16="http://schemas.microsoft.com/office/drawing/2014/main" id="{94345784-7729-4D6B-A756-70C82993C1ED}"/>
            </a:ext>
          </a:extLst>
        </xdr:cNvPr>
        <xdr:cNvSpPr/>
      </xdr:nvSpPr>
      <xdr:spPr>
        <a:xfrm>
          <a:off x="753587" y="3872178"/>
          <a:ext cx="684961" cy="1768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00">
              <a:solidFill>
                <a:schemeClr val="bg1"/>
              </a:solidFill>
              <a:latin typeface="+mj-lt"/>
            </a:rPr>
            <a:t>DURATION</a:t>
          </a:r>
        </a:p>
      </xdr:txBody>
    </xdr:sp>
    <xdr:clientData/>
  </xdr:twoCellAnchor>
  <xdr:twoCellAnchor editAs="oneCell">
    <xdr:from>
      <xdr:col>2</xdr:col>
      <xdr:colOff>36044</xdr:colOff>
      <xdr:row>21</xdr:row>
      <xdr:rowOff>173746</xdr:rowOff>
    </xdr:from>
    <xdr:to>
      <xdr:col>2</xdr:col>
      <xdr:colOff>173505</xdr:colOff>
      <xdr:row>22</xdr:row>
      <xdr:rowOff>97847</xdr:rowOff>
    </xdr:to>
    <xdr:pic>
      <xdr:nvPicPr>
        <xdr:cNvPr id="14" name="Graphic 13">
          <a:extLst>
            <a:ext uri="{FF2B5EF4-FFF2-40B4-BE49-F238E27FC236}">
              <a16:creationId xmlns:a16="http://schemas.microsoft.com/office/drawing/2014/main" id="{882EE056-2679-46C6-BD8C-53896B65598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621151" y="3888496"/>
          <a:ext cx="133651" cy="112424"/>
        </a:xfrm>
        <a:prstGeom prst="rect">
          <a:avLst/>
        </a:prstGeom>
      </xdr:spPr>
    </xdr:pic>
    <xdr:clientData/>
  </xdr:twoCellAnchor>
  <xdr:twoCellAnchor>
    <xdr:from>
      <xdr:col>2</xdr:col>
      <xdr:colOff>247650</xdr:colOff>
      <xdr:row>24</xdr:row>
      <xdr:rowOff>80401</xdr:rowOff>
    </xdr:from>
    <xdr:to>
      <xdr:col>3</xdr:col>
      <xdr:colOff>76200</xdr:colOff>
      <xdr:row>25</xdr:row>
      <xdr:rowOff>6379</xdr:rowOff>
    </xdr:to>
    <xdr:sp macro="" textlink="Sheet2!C10">
      <xdr:nvSpPr>
        <xdr:cNvPr id="15" name="TextBox 14">
          <a:extLst>
            <a:ext uri="{FF2B5EF4-FFF2-40B4-BE49-F238E27FC236}">
              <a16:creationId xmlns:a16="http://schemas.microsoft.com/office/drawing/2014/main" id="{09C97E4B-88BC-4351-AAB2-B8543A00B78B}"/>
            </a:ext>
          </a:extLst>
        </xdr:cNvPr>
        <xdr:cNvSpPr txBox="1"/>
      </xdr:nvSpPr>
      <xdr:spPr>
        <a:xfrm>
          <a:off x="832757" y="4325830"/>
          <a:ext cx="495300" cy="102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1BBD01B-AFD1-4094-BF2D-31230779F983}" type="TxLink">
            <a:rPr lang="en-US" sz="800" b="0" i="0" u="none" strike="noStrike">
              <a:solidFill>
                <a:schemeClr val="accent5">
                  <a:lumMod val="20000"/>
                  <a:lumOff val="80000"/>
                </a:schemeClr>
              </a:solidFill>
              <a:latin typeface="+mj-lt"/>
              <a:ea typeface="+mn-ea"/>
              <a:cs typeface="+mn-cs"/>
            </a:rPr>
            <a:pPr marL="0" indent="0" algn="ctr"/>
            <a:t>16,834</a:t>
          </a:fld>
          <a:endParaRPr lang="en-IN" sz="800" b="0" i="0" u="none" strike="noStrike">
            <a:solidFill>
              <a:schemeClr val="accent5">
                <a:lumMod val="20000"/>
                <a:lumOff val="80000"/>
              </a:schemeClr>
            </a:solidFill>
            <a:latin typeface="+mj-lt"/>
            <a:ea typeface="+mn-ea"/>
            <a:cs typeface="+mn-cs"/>
          </a:endParaRPr>
        </a:p>
      </xdr:txBody>
    </xdr:sp>
    <xdr:clientData/>
  </xdr:twoCellAnchor>
  <xdr:twoCellAnchor>
    <xdr:from>
      <xdr:col>2</xdr:col>
      <xdr:colOff>0</xdr:colOff>
      <xdr:row>30</xdr:row>
      <xdr:rowOff>0</xdr:rowOff>
    </xdr:from>
    <xdr:to>
      <xdr:col>3</xdr:col>
      <xdr:colOff>287655</xdr:colOff>
      <xdr:row>33</xdr:row>
      <xdr:rowOff>76592</xdr:rowOff>
    </xdr:to>
    <xdr:sp macro="" textlink="Sheet2!D4">
      <xdr:nvSpPr>
        <xdr:cNvPr id="16" name="Rectangle 15">
          <a:extLst>
            <a:ext uri="{FF2B5EF4-FFF2-40B4-BE49-F238E27FC236}">
              <a16:creationId xmlns:a16="http://schemas.microsoft.com/office/drawing/2014/main" id="{22DDB1EB-12D6-446A-8907-EEFDD13D9FE7}"/>
            </a:ext>
          </a:extLst>
        </xdr:cNvPr>
        <xdr:cNvSpPr/>
      </xdr:nvSpPr>
      <xdr:spPr>
        <a:xfrm>
          <a:off x="585107" y="5306786"/>
          <a:ext cx="954405" cy="607270"/>
        </a:xfrm>
        <a:prstGeom prst="rect">
          <a:avLst/>
        </a:prstGeom>
        <a:effectLst>
          <a:outerShdw blurRad="254000" dist="38100" dir="2700000" algn="tl"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C920E89B-5280-4896-A733-56A5E603BC32}" type="TxLink">
            <a:rPr lang="en-US" sz="2000" b="0" i="0" u="none" strike="noStrike">
              <a:solidFill>
                <a:schemeClr val="bg1"/>
              </a:solidFill>
              <a:latin typeface="+mj-lt"/>
              <a:ea typeface="+mn-ea"/>
              <a:cs typeface="+mn-cs"/>
            </a:rPr>
            <a:pPr marL="0" indent="0" algn="ctr"/>
            <a:t>3.9</a:t>
          </a:fld>
          <a:endParaRPr lang="en-IN" sz="2000" b="0" i="0" u="none" strike="noStrike">
            <a:solidFill>
              <a:schemeClr val="bg1"/>
            </a:solidFill>
            <a:latin typeface="+mj-lt"/>
            <a:ea typeface="+mn-ea"/>
            <a:cs typeface="+mn-cs"/>
          </a:endParaRPr>
        </a:p>
      </xdr:txBody>
    </xdr:sp>
    <xdr:clientData/>
  </xdr:twoCellAnchor>
  <xdr:twoCellAnchor>
    <xdr:from>
      <xdr:col>2</xdr:col>
      <xdr:colOff>98783</xdr:colOff>
      <xdr:row>30</xdr:row>
      <xdr:rowOff>8447</xdr:rowOff>
    </xdr:from>
    <xdr:to>
      <xdr:col>3</xdr:col>
      <xdr:colOff>246863</xdr:colOff>
      <xdr:row>31</xdr:row>
      <xdr:rowOff>8448</xdr:rowOff>
    </xdr:to>
    <xdr:sp macro="" textlink="">
      <xdr:nvSpPr>
        <xdr:cNvPr id="17" name="Rectangle 16">
          <a:extLst>
            <a:ext uri="{FF2B5EF4-FFF2-40B4-BE49-F238E27FC236}">
              <a16:creationId xmlns:a16="http://schemas.microsoft.com/office/drawing/2014/main" id="{2924816A-555A-4660-BCD3-40F82A88DB5A}"/>
            </a:ext>
          </a:extLst>
        </xdr:cNvPr>
        <xdr:cNvSpPr/>
      </xdr:nvSpPr>
      <xdr:spPr>
        <a:xfrm>
          <a:off x="683890" y="5315233"/>
          <a:ext cx="814830" cy="1768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00">
              <a:solidFill>
                <a:schemeClr val="bg1"/>
              </a:solidFill>
              <a:latin typeface="+mj-lt"/>
            </a:rPr>
            <a:t>AVG.</a:t>
          </a:r>
          <a:r>
            <a:rPr lang="en-IN" sz="600" baseline="0">
              <a:solidFill>
                <a:schemeClr val="bg1"/>
              </a:solidFill>
              <a:latin typeface="+mj-lt"/>
            </a:rPr>
            <a:t> RATING</a:t>
          </a:r>
          <a:endParaRPr lang="en-IN" sz="600">
            <a:solidFill>
              <a:schemeClr val="bg1"/>
            </a:solidFill>
            <a:latin typeface="+mj-lt"/>
          </a:endParaRPr>
        </a:p>
      </xdr:txBody>
    </xdr:sp>
    <xdr:clientData/>
  </xdr:twoCellAnchor>
  <xdr:twoCellAnchor editAs="oneCell">
    <xdr:from>
      <xdr:col>2</xdr:col>
      <xdr:colOff>36044</xdr:colOff>
      <xdr:row>29</xdr:row>
      <xdr:rowOff>155878</xdr:rowOff>
    </xdr:from>
    <xdr:to>
      <xdr:col>2</xdr:col>
      <xdr:colOff>209156</xdr:colOff>
      <xdr:row>30</xdr:row>
      <xdr:rowOff>131724</xdr:rowOff>
    </xdr:to>
    <xdr:pic>
      <xdr:nvPicPr>
        <xdr:cNvPr id="18" name="Graphic 17">
          <a:extLst>
            <a:ext uri="{FF2B5EF4-FFF2-40B4-BE49-F238E27FC236}">
              <a16:creationId xmlns:a16="http://schemas.microsoft.com/office/drawing/2014/main" id="{6CFA0D38-4D6E-49D7-8521-7DF605831E6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621151" y="5285771"/>
          <a:ext cx="176922" cy="166074"/>
        </a:xfrm>
        <a:prstGeom prst="rect">
          <a:avLst/>
        </a:prstGeom>
      </xdr:spPr>
    </xdr:pic>
    <xdr:clientData/>
  </xdr:twoCellAnchor>
  <xdr:twoCellAnchor>
    <xdr:from>
      <xdr:col>2</xdr:col>
      <xdr:colOff>243840</xdr:colOff>
      <xdr:row>32</xdr:row>
      <xdr:rowOff>116597</xdr:rowOff>
    </xdr:from>
    <xdr:to>
      <xdr:col>3</xdr:col>
      <xdr:colOff>76200</xdr:colOff>
      <xdr:row>33</xdr:row>
      <xdr:rowOff>42574</xdr:rowOff>
    </xdr:to>
    <xdr:sp macro="" textlink="Sheet2!D10">
      <xdr:nvSpPr>
        <xdr:cNvPr id="19" name="TextBox 18">
          <a:extLst>
            <a:ext uri="{FF2B5EF4-FFF2-40B4-BE49-F238E27FC236}">
              <a16:creationId xmlns:a16="http://schemas.microsoft.com/office/drawing/2014/main" id="{782E8701-64E0-4FF3-8095-D62C82A5F16C}"/>
            </a:ext>
          </a:extLst>
        </xdr:cNvPr>
        <xdr:cNvSpPr txBox="1"/>
      </xdr:nvSpPr>
      <xdr:spPr>
        <a:xfrm>
          <a:off x="828947" y="5777168"/>
          <a:ext cx="499110" cy="102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E5DFEC8-18AB-442C-80B8-96C034D3C423}" type="TxLink">
            <a:rPr lang="en-US" sz="800" b="0" i="0" u="none" strike="noStrike">
              <a:solidFill>
                <a:schemeClr val="accent5">
                  <a:lumMod val="20000"/>
                  <a:lumOff val="80000"/>
                </a:schemeClr>
              </a:solidFill>
              <a:latin typeface="+mj-lt"/>
              <a:ea typeface="+mn-ea"/>
              <a:cs typeface="+mn-cs"/>
            </a:rPr>
            <a:pPr marL="0" indent="0" algn="ctr"/>
            <a:t>3.9</a:t>
          </a:fld>
          <a:endParaRPr lang="en-IN" sz="800" b="0" i="0" u="none" strike="noStrike">
            <a:solidFill>
              <a:schemeClr val="accent5">
                <a:lumMod val="20000"/>
                <a:lumOff val="80000"/>
              </a:schemeClr>
            </a:solidFill>
            <a:latin typeface="+mj-lt"/>
            <a:ea typeface="+mn-ea"/>
            <a:cs typeface="+mn-cs"/>
          </a:endParaRPr>
        </a:p>
      </xdr:txBody>
    </xdr:sp>
    <xdr:clientData/>
  </xdr:twoCellAnchor>
  <xdr:twoCellAnchor>
    <xdr:from>
      <xdr:col>2</xdr:col>
      <xdr:colOff>0</xdr:colOff>
      <xdr:row>37</xdr:row>
      <xdr:rowOff>141361</xdr:rowOff>
    </xdr:from>
    <xdr:to>
      <xdr:col>3</xdr:col>
      <xdr:colOff>287655</xdr:colOff>
      <xdr:row>41</xdr:row>
      <xdr:rowOff>40669</xdr:rowOff>
    </xdr:to>
    <xdr:sp macro="" textlink="Sheet2!E4">
      <xdr:nvSpPr>
        <xdr:cNvPr id="3" name="Rectangle 2">
          <a:extLst>
            <a:ext uri="{FF2B5EF4-FFF2-40B4-BE49-F238E27FC236}">
              <a16:creationId xmlns:a16="http://schemas.microsoft.com/office/drawing/2014/main" id="{FD722799-7565-4632-A149-2ADD2DCEB70F}"/>
            </a:ext>
          </a:extLst>
        </xdr:cNvPr>
        <xdr:cNvSpPr/>
      </xdr:nvSpPr>
      <xdr:spPr>
        <a:xfrm>
          <a:off x="585107" y="6686397"/>
          <a:ext cx="954405" cy="606879"/>
        </a:xfrm>
        <a:prstGeom prst="rect">
          <a:avLst/>
        </a:prstGeom>
        <a:effectLst>
          <a:outerShdw blurRad="254000" dist="38100" dir="2700000" algn="tl"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fld id="{20E0EE76-2083-4E10-A534-C918D451E17F}" type="TxLink">
            <a:rPr lang="en-US" sz="2000" b="0" i="0" u="none" strike="noStrike">
              <a:solidFill>
                <a:schemeClr val="bg1"/>
              </a:solidFill>
              <a:latin typeface="+mj-lt"/>
              <a:ea typeface="+mn-ea"/>
              <a:cs typeface="+mn-cs"/>
            </a:rPr>
            <a:pPr marL="0" indent="0" algn="ctr"/>
            <a:t>307</a:t>
          </a:fld>
          <a:endParaRPr lang="en-IN" sz="2000" b="0" i="0" u="none" strike="noStrike">
            <a:solidFill>
              <a:schemeClr val="bg1"/>
            </a:solidFill>
            <a:latin typeface="+mj-lt"/>
            <a:ea typeface="+mn-ea"/>
            <a:cs typeface="+mn-cs"/>
          </a:endParaRPr>
        </a:p>
      </xdr:txBody>
    </xdr:sp>
    <xdr:clientData/>
  </xdr:twoCellAnchor>
  <xdr:twoCellAnchor>
    <xdr:from>
      <xdr:col>2</xdr:col>
      <xdr:colOff>92410</xdr:colOff>
      <xdr:row>37</xdr:row>
      <xdr:rowOff>145998</xdr:rowOff>
    </xdr:from>
    <xdr:to>
      <xdr:col>3</xdr:col>
      <xdr:colOff>209156</xdr:colOff>
      <xdr:row>38</xdr:row>
      <xdr:rowOff>145999</xdr:rowOff>
    </xdr:to>
    <xdr:sp macro="" textlink="">
      <xdr:nvSpPr>
        <xdr:cNvPr id="4" name="Rectangle 3">
          <a:extLst>
            <a:ext uri="{FF2B5EF4-FFF2-40B4-BE49-F238E27FC236}">
              <a16:creationId xmlns:a16="http://schemas.microsoft.com/office/drawing/2014/main" id="{AAB5E587-61C3-4069-B283-A3BC40C2199D}"/>
            </a:ext>
          </a:extLst>
        </xdr:cNvPr>
        <xdr:cNvSpPr/>
      </xdr:nvSpPr>
      <xdr:spPr>
        <a:xfrm>
          <a:off x="677517" y="6691034"/>
          <a:ext cx="783496" cy="1768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00">
              <a:solidFill>
                <a:schemeClr val="bg1"/>
              </a:solidFill>
              <a:latin typeface="+mj-lt"/>
            </a:rPr>
            <a:t>HAPPY CALLERS</a:t>
          </a:r>
        </a:p>
      </xdr:txBody>
    </xdr:sp>
    <xdr:clientData/>
  </xdr:twoCellAnchor>
  <xdr:twoCellAnchor editAs="oneCell">
    <xdr:from>
      <xdr:col>2</xdr:col>
      <xdr:colOff>36044</xdr:colOff>
      <xdr:row>37</xdr:row>
      <xdr:rowOff>164221</xdr:rowOff>
    </xdr:from>
    <xdr:to>
      <xdr:col>2</xdr:col>
      <xdr:colOff>173505</xdr:colOff>
      <xdr:row>38</xdr:row>
      <xdr:rowOff>130232</xdr:rowOff>
    </xdr:to>
    <xdr:pic>
      <xdr:nvPicPr>
        <xdr:cNvPr id="20" name="Graphic 19">
          <a:extLst>
            <a:ext uri="{FF2B5EF4-FFF2-40B4-BE49-F238E27FC236}">
              <a16:creationId xmlns:a16="http://schemas.microsoft.com/office/drawing/2014/main" id="{58BABEFB-C9AB-43A3-83E8-998BCED8970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621151" y="6709257"/>
          <a:ext cx="133651" cy="139094"/>
        </a:xfrm>
        <a:prstGeom prst="rect">
          <a:avLst/>
        </a:prstGeom>
      </xdr:spPr>
    </xdr:pic>
    <xdr:clientData/>
  </xdr:twoCellAnchor>
  <xdr:twoCellAnchor editAs="oneCell">
    <xdr:from>
      <xdr:col>10</xdr:col>
      <xdr:colOff>252044</xdr:colOff>
      <xdr:row>26</xdr:row>
      <xdr:rowOff>89204</xdr:rowOff>
    </xdr:from>
    <xdr:to>
      <xdr:col>12</xdr:col>
      <xdr:colOff>479997</xdr:colOff>
      <xdr:row>36</xdr:row>
      <xdr:rowOff>134045</xdr:rowOff>
    </xdr:to>
    <mc:AlternateContent xmlns:mc="http://schemas.openxmlformats.org/markup-compatibility/2006" xmlns:a14="http://schemas.microsoft.com/office/drawing/2010/main">
      <mc:Choice Requires="a14">
        <xdr:graphicFrame macro="">
          <xdr:nvGraphicFramePr>
            <xdr:cNvPr id="22" name="Representative">
              <a:extLst>
                <a:ext uri="{FF2B5EF4-FFF2-40B4-BE49-F238E27FC236}">
                  <a16:creationId xmlns:a16="http://schemas.microsoft.com/office/drawing/2014/main" id="{5CA66B35-DF7B-4575-8D72-E98A8649AA2E}"/>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222538" y="4966004"/>
              <a:ext cx="1572659" cy="1837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247650</xdr:colOff>
      <xdr:row>40</xdr:row>
      <xdr:rowOff>78498</xdr:rowOff>
    </xdr:from>
    <xdr:to>
      <xdr:col>3</xdr:col>
      <xdr:colOff>76200</xdr:colOff>
      <xdr:row>41</xdr:row>
      <xdr:rowOff>2569</xdr:rowOff>
    </xdr:to>
    <xdr:sp macro="" textlink="Sheet2!E10">
      <xdr:nvSpPr>
        <xdr:cNvPr id="21" name="TextBox 20">
          <a:extLst>
            <a:ext uri="{FF2B5EF4-FFF2-40B4-BE49-F238E27FC236}">
              <a16:creationId xmlns:a16="http://schemas.microsoft.com/office/drawing/2014/main" id="{58167578-0791-4DBF-B030-1301879BAC43}"/>
            </a:ext>
          </a:extLst>
        </xdr:cNvPr>
        <xdr:cNvSpPr txBox="1"/>
      </xdr:nvSpPr>
      <xdr:spPr>
        <a:xfrm>
          <a:off x="832757" y="7154212"/>
          <a:ext cx="495300" cy="100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CED575-8812-4175-9C70-739FBE640370}" type="TxLink">
            <a:rPr lang="en-US" sz="800" b="0" i="0" u="none" strike="noStrike">
              <a:solidFill>
                <a:schemeClr val="accent5">
                  <a:lumMod val="20000"/>
                  <a:lumOff val="80000"/>
                </a:schemeClr>
              </a:solidFill>
              <a:latin typeface="+mj-lt"/>
              <a:ea typeface="+mn-ea"/>
              <a:cs typeface="+mn-cs"/>
            </a:rPr>
            <a:pPr marL="0" indent="0" algn="ctr"/>
            <a:t>60</a:t>
          </a:fld>
          <a:endParaRPr lang="en-IN" sz="800" b="0" i="0" u="none" strike="noStrike">
            <a:solidFill>
              <a:schemeClr val="accent5">
                <a:lumMod val="20000"/>
                <a:lumOff val="80000"/>
              </a:schemeClr>
            </a:solidFill>
            <a:latin typeface="+mj-lt"/>
            <a:ea typeface="+mn-ea"/>
            <a:cs typeface="+mn-cs"/>
          </a:endParaRPr>
        </a:p>
      </xdr:txBody>
    </xdr:sp>
    <xdr:clientData/>
  </xdr:twoCellAnchor>
  <xdr:twoCellAnchor>
    <xdr:from>
      <xdr:col>9</xdr:col>
      <xdr:colOff>92276</xdr:colOff>
      <xdr:row>7</xdr:row>
      <xdr:rowOff>81642</xdr:rowOff>
    </xdr:from>
    <xdr:to>
      <xdr:col>12</xdr:col>
      <xdr:colOff>171674</xdr:colOff>
      <xdr:row>19</xdr:row>
      <xdr:rowOff>80009</xdr:rowOff>
    </xdr:to>
    <xdr:graphicFrame macro="">
      <xdr:nvGraphicFramePr>
        <xdr:cNvPr id="24" name="Chart 23">
          <a:extLst>
            <a:ext uri="{FF2B5EF4-FFF2-40B4-BE49-F238E27FC236}">
              <a16:creationId xmlns:a16="http://schemas.microsoft.com/office/drawing/2014/main" id="{C2205F3B-2791-4F5B-8F60-6A211946E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0</xdr:colOff>
      <xdr:row>6</xdr:row>
      <xdr:rowOff>78984</xdr:rowOff>
    </xdr:from>
    <xdr:to>
      <xdr:col>9</xdr:col>
      <xdr:colOff>112059</xdr:colOff>
      <xdr:row>20</xdr:row>
      <xdr:rowOff>81643</xdr:rowOff>
    </xdr:to>
    <xdr:graphicFrame macro="">
      <xdr:nvGraphicFramePr>
        <xdr:cNvPr id="23" name="Chart 22">
          <a:extLst>
            <a:ext uri="{FF2B5EF4-FFF2-40B4-BE49-F238E27FC236}">
              <a16:creationId xmlns:a16="http://schemas.microsoft.com/office/drawing/2014/main" id="{A94BFF16-1F34-4422-A007-9767D0B2A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9525</xdr:colOff>
      <xdr:row>22</xdr:row>
      <xdr:rowOff>0</xdr:rowOff>
    </xdr:from>
    <xdr:to>
      <xdr:col>7</xdr:col>
      <xdr:colOff>137107</xdr:colOff>
      <xdr:row>41</xdr:row>
      <xdr:rowOff>0</xdr:rowOff>
    </xdr:to>
    <xdr:graphicFrame macro="">
      <xdr:nvGraphicFramePr>
        <xdr:cNvPr id="25" name="Chart 24">
          <a:extLst>
            <a:ext uri="{FF2B5EF4-FFF2-40B4-BE49-F238E27FC236}">
              <a16:creationId xmlns:a16="http://schemas.microsoft.com/office/drawing/2014/main" id="{35DBBB93-DAB0-4560-8BFB-A88ADFDF5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100077</xdr:colOff>
      <xdr:row>22</xdr:row>
      <xdr:rowOff>0</xdr:rowOff>
    </xdr:from>
    <xdr:to>
      <xdr:col>10</xdr:col>
      <xdr:colOff>253726</xdr:colOff>
      <xdr:row>41</xdr:row>
      <xdr:rowOff>0</xdr:rowOff>
    </xdr:to>
    <xdr:graphicFrame macro="">
      <xdr:nvGraphicFramePr>
        <xdr:cNvPr id="26" name="Chart 25">
          <a:extLst>
            <a:ext uri="{FF2B5EF4-FFF2-40B4-BE49-F238E27FC236}">
              <a16:creationId xmlns:a16="http://schemas.microsoft.com/office/drawing/2014/main" id="{B3F91FAF-782C-4BB8-AB3A-004320BD0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0</xdr:colOff>
      <xdr:row>22</xdr:row>
      <xdr:rowOff>0</xdr:rowOff>
    </xdr:from>
    <xdr:to>
      <xdr:col>10</xdr:col>
      <xdr:colOff>248052</xdr:colOff>
      <xdr:row>41</xdr:row>
      <xdr:rowOff>0</xdr:rowOff>
    </xdr:to>
    <xdr:sp macro="" textlink="">
      <xdr:nvSpPr>
        <xdr:cNvPr id="28" name="Rectangle 27">
          <a:extLst>
            <a:ext uri="{FF2B5EF4-FFF2-40B4-BE49-F238E27FC236}">
              <a16:creationId xmlns:a16="http://schemas.microsoft.com/office/drawing/2014/main" id="{DB702D8A-F739-9527-F0D5-A040C6CC7553}"/>
            </a:ext>
          </a:extLst>
        </xdr:cNvPr>
        <xdr:cNvSpPr/>
      </xdr:nvSpPr>
      <xdr:spPr>
        <a:xfrm>
          <a:off x="1924050" y="3981450"/>
          <a:ext cx="4248552" cy="3438525"/>
        </a:xfrm>
        <a:prstGeom prst="rect">
          <a:avLst/>
        </a:prstGeom>
        <a:noFill/>
        <a:ln w="95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311860</xdr:colOff>
      <xdr:row>6</xdr:row>
      <xdr:rowOff>81643</xdr:rowOff>
    </xdr:from>
    <xdr:to>
      <xdr:col>17</xdr:col>
      <xdr:colOff>145900</xdr:colOff>
      <xdr:row>20</xdr:row>
      <xdr:rowOff>53837</xdr:rowOff>
    </xdr:to>
    <xdr:graphicFrame macro="">
      <xdr:nvGraphicFramePr>
        <xdr:cNvPr id="29" name="Chart 28">
          <a:extLst>
            <a:ext uri="{FF2B5EF4-FFF2-40B4-BE49-F238E27FC236}">
              <a16:creationId xmlns:a16="http://schemas.microsoft.com/office/drawing/2014/main" id="{73C20018-85ED-4F73-AF54-6D8524861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250559</xdr:colOff>
      <xdr:row>6</xdr:row>
      <xdr:rowOff>81643</xdr:rowOff>
    </xdr:from>
    <xdr:to>
      <xdr:col>21</xdr:col>
      <xdr:colOff>0</xdr:colOff>
      <xdr:row>20</xdr:row>
      <xdr:rowOff>50027</xdr:rowOff>
    </xdr:to>
    <xdr:graphicFrame macro="">
      <xdr:nvGraphicFramePr>
        <xdr:cNvPr id="30" name="Chart 29">
          <a:extLst>
            <a:ext uri="{FF2B5EF4-FFF2-40B4-BE49-F238E27FC236}">
              <a16:creationId xmlns:a16="http://schemas.microsoft.com/office/drawing/2014/main" id="{528B57E9-AFE6-4F69-85D8-F1ECB4D89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407745</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407745</xdr:colOff>
      <xdr:row>2</xdr:row>
      <xdr:rowOff>295770</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407745</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407745</xdr:colOff>
      <xdr:row>5</xdr:row>
      <xdr:rowOff>182130</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407745</xdr:colOff>
      <xdr:row>12</xdr:row>
      <xdr:rowOff>173478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432434</xdr:colOff>
      <xdr:row>18</xdr:row>
      <xdr:rowOff>158534</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HARMA" refreshedDate="45966.950220949075" backgroundQuery="1" createdVersion="8" refreshedVersion="8" minRefreshableVersion="3" recordCount="0" supportSubquery="1" supportAdvancedDrill="1" xr:uid="{F3FB6ED9-1ED1-4F54-82C9-71E7AC83AA46}">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HARMA" refreshedDate="45966.968960185186" backgroundQuery="1" createdVersion="8" refreshedVersion="8" minRefreshableVersion="3" recordCount="0" supportSubquery="1" supportAdvancedDrill="1" xr:uid="{0B9C201B-4DD9-4D99-98C7-9B25EC09C9D0}">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HARMA" refreshedDate="45967.003253356481" backgroundQuery="1" createdVersion="8" refreshedVersion="8" minRefreshableVersion="3" recordCount="0" supportSubquery="1" supportAdvancedDrill="1" xr:uid="{3D01B29A-8FBA-4C01-BAB8-46E2798F6F64}">
  <cacheSource type="external" connectionId="1"/>
  <cacheFields count="3">
    <cacheField name="[customers].[City].[City]" caption="City" numFmtId="0" hierarchy="15" level="1">
      <sharedItems count="3">
        <s v="Cincinnati"/>
        <s v="Cleveland"/>
        <s v="Columbus"/>
      </sharedItems>
    </cacheField>
    <cacheField name="[customers].[Gender].[Gender]" caption="Gend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SKAR SHARMA" refreshedDate="45967.013078703705" createdVersion="8" refreshedVersion="8" minRefreshableVersion="3" recordCount="1000" xr:uid="{0C6380C3-7688-4DCC-A40F-BC20EA48CD11}">
  <cacheSource type="worksheet">
    <worksheetSource name="calls"/>
  </cacheSource>
  <cacheFields count="11">
    <cacheField name="Call number" numFmtId="0">
      <sharedItems/>
    </cacheField>
    <cacheField name="Customer ID" numFmtId="0">
      <sharedItems/>
    </cacheField>
    <cacheField name="Duration" numFmtId="0">
      <sharedItems containsSemiMixedTypes="0" containsString="0" containsNumber="1" containsInteger="1" minValue="2" maxValue="176"/>
    </cacheField>
    <cacheField name="Representative" numFmtId="2">
      <sharedItems/>
    </cacheField>
    <cacheField name="Date of Call" numFmtId="164">
      <sharedItems containsSemiMixedTypes="0" containsNonDate="0" containsDate="1" containsString="0" minDate="2023-01-01T00:00:00" maxDate="2024-01-01T00:00:00"/>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acheField>
    <cacheField name="Day of week" numFmtId="0">
      <sharedItems/>
    </cacheField>
    <cacheField name="Duration Bucket" numFmtId="0">
      <sharedItems/>
    </cacheField>
    <cacheField name="Rating rounded" numFmtId="0">
      <sharedItems containsSemiMixedTypes="0" containsString="0" containsNumber="1" containsInteger="1" minValue="0" maxValue="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HARMA" refreshedDate="45967.473851388888" backgroundQuery="1" createdVersion="8" refreshedVersion="8" minRefreshableVersion="3" recordCount="0" supportSubquery="1" supportAdvancedDrill="1" xr:uid="{3557B732-9041-4055-9A50-C135C93C9FB5}">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HARMA" refreshedDate="45967.47385185185" backgroundQuery="1" createdVersion="8" refreshedVersion="8" minRefreshableVersion="3" recordCount="0" supportSubquery="1" supportAdvancedDrill="1" xr:uid="{152264BB-8B12-4A37-AF0A-0F06CA85E607}">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HARMA" refreshedDate="45967.473852083334" backgroundQuery="1" createdVersion="8" refreshedVersion="8" minRefreshableVersion="3" recordCount="0" supportSubquery="1" supportAdvancedDrill="1" xr:uid="{BF72F491-7C93-46E4-901E-6A8A895F3B26}">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HARMA" refreshedDate="45967.473852430558" backgroundQuery="1" createdVersion="8" refreshedVersion="8" minRefreshableVersion="3" recordCount="0" supportSubquery="1" supportAdvancedDrill="1" xr:uid="{85236FB5-CCC0-4760-9755-1DB8274567DE}">
  <cacheSource type="external" connectionId="1"/>
  <cacheFields count="1">
    <cacheField name="[calls].[Representative].[Representative]" caption="Representative" numFmtId="0" hierarchy="3" level="1">
      <sharedItems count="1">
        <s v="R01"/>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HARMA" refreshedDate="45967.47385289352" backgroundQuery="1" createdVersion="8" refreshedVersion="8" minRefreshableVersion="3" recordCount="0" supportSubquery="1" supportAdvancedDrill="1" xr:uid="{345C2355-F0A2-4031-AC01-7CE482156C42}">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HARMA" refreshedDate="45967.473853356481" backgroundQuery="1" createdVersion="8" refreshedVersion="8" minRefreshableVersion="3" recordCount="0" supportSubquery="1" supportAdvancedDrill="1" xr:uid="{040FECDF-4F85-4949-8CD2-A09588441867}">
  <cacheSource type="external" connectionId="1"/>
  <cacheFields count="4">
    <cacheField name="[calls].[Representative].[Representative]" caption="Representative" numFmtId="0" hierarchy="3" level="1">
      <sharedItems count="1">
        <s v="R01"/>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2" memberValueDatatype="130" unbalanced="0"/>
    <cacheHierarchy uniqueName="[calls].[Customer ID]" caption="Customer ID" attribute="1" defaultMemberUniqueName="[calls].[Customer ID].[All]" allUniqueName="[calls].[Customer ID].[All]" dimensionUniqueName="[calls]" displayFolder="" count="2" memberValueDatatype="130" unbalanced="0"/>
    <cacheHierarchy uniqueName="[calls].[Duration]" caption="Duration" attribute="1" defaultMemberUniqueName="[calls].[Duration].[All]" allUniqueName="[calls].[Duration].[All]" dimensionUniqueName="[calls]" displayFolder="" count="2"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2"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2" memberValueDatatype="20" unbalanced="0"/>
    <cacheHierarchy uniqueName="[calls].[Day of week]" caption="Day of week" attribute="1" defaultMemberUniqueName="[calls].[Day of week].[All]" allUniqueName="[calls].[Day of week].[All]" dimensionUniqueName="[calls]" displayFolder="" count="2" memberValueDatatype="130" unbalanced="0"/>
    <cacheHierarchy uniqueName="[calls].[Duration Bucket]" caption="Duration Bucket" attribute="1" defaultMemberUniqueName="[calls].[Duration Bucket].[All]" allUniqueName="[calls].[Duration Bucket].[All]" dimensionUniqueName="[calls]" displayFolder="" count="2"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2"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SKAR SHARMA" refreshedDate="45966.950217592595" backgroundQuery="1" createdVersion="3" refreshedVersion="8" minRefreshableVersion="3" recordCount="0" supportSubquery="1" supportAdvancedDrill="1" xr:uid="{F9E2BA21-FA11-4912-BEC9-11772DB8188F}">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2211783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s v="C0003"/>
    <n v="116"/>
    <s v="R05"/>
    <d v="2023-01-01T00:00:00"/>
    <n v="128"/>
    <n v="4.9000000000000004"/>
    <n v="2023"/>
    <s v="Sunday"/>
    <s v="1 to 2 hours"/>
    <n v="5"/>
  </r>
  <r>
    <s v="Call_7272"/>
    <s v="C0004"/>
    <n v="119"/>
    <s v="R05"/>
    <d v="2023-01-01T00:00:00"/>
    <n v="135"/>
    <n v="2.9"/>
    <n v="2023"/>
    <s v="Sunday"/>
    <s v="1 to 2 hours"/>
    <n v="3"/>
  </r>
  <r>
    <s v="Call_7273"/>
    <s v="C0005"/>
    <n v="68"/>
    <s v="R02"/>
    <d v="2023-01-01T00:00:00"/>
    <n v="66"/>
    <n v="4.7"/>
    <n v="2023"/>
    <s v="Sunday"/>
    <s v="1 to 2 hours"/>
    <n v="5"/>
  </r>
  <r>
    <s v="Call_7274"/>
    <s v="C0014"/>
    <n v="119"/>
    <s v="R02"/>
    <d v="2023-01-01T00:00:00"/>
    <n v="22"/>
    <n v="2.9"/>
    <n v="2023"/>
    <s v="Sunday"/>
    <s v="1 to 2 hours"/>
    <n v="3"/>
  </r>
  <r>
    <s v="Call_7275"/>
    <s v="C0011"/>
    <n v="128"/>
    <s v="R01"/>
    <d v="2023-01-02T00:00:00"/>
    <n v="31"/>
    <n v="2.8"/>
    <n v="2023"/>
    <s v="Monday"/>
    <s v="More than 2 hours"/>
    <n v="3"/>
  </r>
  <r>
    <s v="Call_7276"/>
    <s v="C0011"/>
    <n v="49"/>
    <s v="R02"/>
    <d v="2023-01-03T00:00:00"/>
    <n v="135"/>
    <n v="4.8"/>
    <n v="2023"/>
    <s v="Tuesday"/>
    <s v="30 to 60 mins"/>
    <n v="5"/>
  </r>
  <r>
    <s v="Call_7277"/>
    <s v="C0007"/>
    <n v="84"/>
    <s v="R05"/>
    <d v="2023-01-03T00:00:00"/>
    <n v="60"/>
    <n v="4.7"/>
    <n v="2023"/>
    <s v="Tuesday"/>
    <s v="1 to 2 hours"/>
    <n v="5"/>
  </r>
  <r>
    <s v="Call_7278"/>
    <s v="C0003"/>
    <n v="103"/>
    <s v="R04"/>
    <d v="2023-01-03T00:00:00"/>
    <n v="148"/>
    <n v="4.4000000000000004"/>
    <n v="2023"/>
    <s v="Tuesday"/>
    <s v="1 to 2 hours"/>
    <n v="4"/>
  </r>
  <r>
    <s v="Call_7279"/>
    <s v="C0005"/>
    <n v="31"/>
    <s v="R02"/>
    <d v="2023-01-03T00:00:00"/>
    <n v="135"/>
    <n v="3.6"/>
    <n v="2023"/>
    <s v="Tuesday"/>
    <s v="30 to 60 mins"/>
    <n v="4"/>
  </r>
  <r>
    <s v="Call_7280"/>
    <s v="C0010"/>
    <n v="44"/>
    <s v="R03"/>
    <d v="2023-01-03T00:00:00"/>
    <n v="105"/>
    <n v="2.9"/>
    <n v="2023"/>
    <s v="Tuesday"/>
    <s v="30 to 60 mins"/>
    <n v="3"/>
  </r>
  <r>
    <s v="Call_7281"/>
    <s v="C0011"/>
    <n v="102"/>
    <s v="R02"/>
    <d v="2023-01-03T00:00:00"/>
    <n v="69"/>
    <n v="4.9000000000000004"/>
    <n v="2023"/>
    <s v="Tuesday"/>
    <s v="1 to 2 hours"/>
    <n v="5"/>
  </r>
  <r>
    <s v="Call_7282"/>
    <s v="C0013"/>
    <n v="135"/>
    <s v="R05"/>
    <d v="2023-01-03T00:00:00"/>
    <n v="46"/>
    <n v="3.4"/>
    <n v="2023"/>
    <s v="Tuesday"/>
    <s v="More than 2 hours"/>
    <n v="3"/>
  </r>
  <r>
    <s v="Call_7283"/>
    <s v="C0002"/>
    <n v="98"/>
    <s v="R02"/>
    <d v="2023-01-04T00:00:00"/>
    <n v="108"/>
    <n v="3.5"/>
    <n v="2023"/>
    <s v="Wednesday"/>
    <s v="1 to 2 hours"/>
    <n v="4"/>
  </r>
  <r>
    <s v="Call_7284"/>
    <s v="C0010"/>
    <n v="139"/>
    <s v="R02"/>
    <d v="2023-01-04T00:00:00"/>
    <n v="96"/>
    <n v="4"/>
    <n v="2023"/>
    <s v="Wednesday"/>
    <s v="More than 2 hours"/>
    <n v="4"/>
  </r>
  <r>
    <s v="Call_7285"/>
    <s v="C0013"/>
    <n v="48"/>
    <s v="R01"/>
    <d v="2023-01-04T00:00:00"/>
    <n v="68"/>
    <n v="4.9000000000000004"/>
    <n v="2023"/>
    <s v="Wednesday"/>
    <s v="30 to 60 mins"/>
    <n v="5"/>
  </r>
  <r>
    <s v="Call_7286"/>
    <s v="C0010"/>
    <n v="176"/>
    <s v="R05"/>
    <d v="2023-01-05T00:00:00"/>
    <n v="24"/>
    <n v="4.8"/>
    <n v="2023"/>
    <s v="Thursday"/>
    <s v="More than 2 hours"/>
    <n v="5"/>
  </r>
  <r>
    <s v="Call_7287"/>
    <s v="C0010"/>
    <n v="99"/>
    <s v="R01"/>
    <d v="2023-01-05T00:00:00"/>
    <n v="195"/>
    <n v="3.9"/>
    <n v="2023"/>
    <s v="Thursday"/>
    <s v="1 to 2 hours"/>
    <n v="4"/>
  </r>
  <r>
    <s v="Call_7288"/>
    <s v="C0009"/>
    <n v="28"/>
    <s v="R03"/>
    <d v="2023-01-05T00:00:00"/>
    <n v="28"/>
    <n v="3.8"/>
    <n v="2023"/>
    <s v="Thursday"/>
    <s v="10 to 30 mins"/>
    <n v="4"/>
  </r>
  <r>
    <s v="Call_7289"/>
    <s v="C0007"/>
    <n v="54"/>
    <s v="R02"/>
    <d v="2023-01-05T00:00:00"/>
    <n v="170"/>
    <n v="4.3"/>
    <n v="2023"/>
    <s v="Thursday"/>
    <s v="30 to 60 mins"/>
    <n v="4"/>
  </r>
  <r>
    <s v="Call_7290"/>
    <s v="C0006"/>
    <n v="48"/>
    <s v="R05"/>
    <d v="2023-01-06T00:00:00"/>
    <n v="30"/>
    <n v="4.4000000000000004"/>
    <n v="2023"/>
    <s v="Friday"/>
    <s v="30 to 60 mins"/>
    <n v="4"/>
  </r>
  <r>
    <s v="Call_7291"/>
    <s v="C0004"/>
    <n v="128"/>
    <s v="R05"/>
    <d v="2023-01-06T00:00:00"/>
    <n v="72"/>
    <n v="5"/>
    <n v="2023"/>
    <s v="Friday"/>
    <s v="More than 2 hours"/>
    <n v="5"/>
  </r>
  <r>
    <s v="Call_7292"/>
    <s v="C0004"/>
    <n v="38"/>
    <s v="R04"/>
    <d v="2023-01-07T00:00:00"/>
    <n v="92"/>
    <n v="4.9000000000000004"/>
    <n v="2023"/>
    <s v="Saturday"/>
    <s v="30 to 60 mins"/>
    <n v="5"/>
  </r>
  <r>
    <s v="Call_7293"/>
    <s v="C0003"/>
    <n v="67"/>
    <s v="R04"/>
    <d v="2023-01-08T00:00:00"/>
    <n v="165"/>
    <n v="4.5"/>
    <n v="2023"/>
    <s v="Sunday"/>
    <s v="1 to 2 hours"/>
    <n v="5"/>
  </r>
  <r>
    <s v="Call_7294"/>
    <s v="C0015"/>
    <n v="58"/>
    <s v="R02"/>
    <d v="2023-01-08T00:00:00"/>
    <n v="140"/>
    <n v="2.1"/>
    <n v="2023"/>
    <s v="Sunday"/>
    <s v="30 to 60 mins"/>
    <n v="2"/>
  </r>
  <r>
    <s v="Call_7295"/>
    <s v="C0010"/>
    <n v="54"/>
    <s v="R01"/>
    <d v="2023-01-08T00:00:00"/>
    <n v="111"/>
    <n v="3.3"/>
    <n v="2023"/>
    <s v="Sunday"/>
    <s v="30 to 60 mins"/>
    <n v="3"/>
  </r>
  <r>
    <s v="Call_7296"/>
    <s v="C0012"/>
    <n v="28"/>
    <s v="R05"/>
    <d v="2023-01-09T00:00:00"/>
    <n v="63"/>
    <n v="4.0999999999999996"/>
    <n v="2023"/>
    <s v="Monday"/>
    <s v="10 to 30 mins"/>
    <n v="4"/>
  </r>
  <r>
    <s v="Call_7297"/>
    <s v="C0002"/>
    <n v="73"/>
    <s v="R05"/>
    <d v="2023-01-09T00:00:00"/>
    <n v="80"/>
    <n v="4.2"/>
    <n v="2023"/>
    <s v="Monday"/>
    <s v="1 to 2 hours"/>
    <n v="4"/>
  </r>
  <r>
    <s v="Call_7298"/>
    <s v="C0011"/>
    <n v="81"/>
    <s v="R05"/>
    <d v="2023-01-10T00:00:00"/>
    <n v="50"/>
    <n v="4.5999999999999996"/>
    <n v="2023"/>
    <s v="Tuesday"/>
    <s v="1 to 2 hours"/>
    <n v="5"/>
  </r>
  <r>
    <s v="Call_7299"/>
    <s v="C0009"/>
    <n v="31"/>
    <s v="R04"/>
    <d v="2023-01-10T00:00:00"/>
    <n v="123"/>
    <n v="2.9"/>
    <n v="2023"/>
    <s v="Tuesday"/>
    <s v="30 to 60 mins"/>
    <n v="3"/>
  </r>
  <r>
    <s v="Call_7300"/>
    <s v="C0015"/>
    <n v="155"/>
    <s v="R01"/>
    <d v="2023-01-10T00:00:00"/>
    <n v="110"/>
    <n v="4.8"/>
    <n v="2023"/>
    <s v="Tuesday"/>
    <s v="More than 2 hours"/>
    <n v="5"/>
  </r>
  <r>
    <s v="Call_7301"/>
    <s v="C0009"/>
    <n v="80"/>
    <s v="R05"/>
    <d v="2023-01-10T00:00:00"/>
    <n v="140"/>
    <n v="4.2"/>
    <n v="2023"/>
    <s v="Tuesday"/>
    <s v="1 to 2 hours"/>
    <n v="4"/>
  </r>
  <r>
    <s v="Call_7302"/>
    <s v="C0011"/>
    <n v="82"/>
    <s v="R05"/>
    <d v="2023-01-12T00:00:00"/>
    <n v="42"/>
    <n v="3.7"/>
    <n v="2023"/>
    <s v="Thursday"/>
    <s v="1 to 2 hours"/>
    <n v="4"/>
  </r>
  <r>
    <s v="Call_7303"/>
    <s v="C0011"/>
    <n v="29"/>
    <s v="R01"/>
    <d v="2023-01-12T00:00:00"/>
    <n v="170"/>
    <n v="5"/>
    <n v="2023"/>
    <s v="Thursday"/>
    <s v="10 to 30 mins"/>
    <n v="5"/>
  </r>
  <r>
    <s v="Call_7304"/>
    <s v="C0006"/>
    <n v="160"/>
    <s v="R02"/>
    <d v="2023-01-14T00:00:00"/>
    <n v="105"/>
    <n v="5"/>
    <n v="2023"/>
    <s v="Saturday"/>
    <s v="More than 2 hours"/>
    <n v="5"/>
  </r>
  <r>
    <s v="Call_7305"/>
    <s v="C0001"/>
    <n v="105"/>
    <s v="R05"/>
    <d v="2023-01-15T00:00:00"/>
    <n v="125"/>
    <n v="4.8"/>
    <n v="2023"/>
    <s v="Sunday"/>
    <s v="1 to 2 hours"/>
    <n v="5"/>
  </r>
  <r>
    <s v="Call_7306"/>
    <s v="C0009"/>
    <n v="75"/>
    <s v="R03"/>
    <d v="2023-01-15T00:00:00"/>
    <n v="26"/>
    <n v="2.4"/>
    <n v="2023"/>
    <s v="Sunday"/>
    <s v="1 to 2 hours"/>
    <n v="2"/>
  </r>
  <r>
    <s v="Call_7307"/>
    <s v="C0015"/>
    <n v="94"/>
    <s v="R03"/>
    <d v="2023-01-16T00:00:00"/>
    <n v="120"/>
    <n v="3.1"/>
    <n v="2023"/>
    <s v="Monday"/>
    <s v="1 to 2 hours"/>
    <n v="3"/>
  </r>
  <r>
    <s v="Call_7308"/>
    <s v="C0004"/>
    <n v="90"/>
    <s v="R02"/>
    <d v="2023-01-16T00:00:00"/>
    <n v="132"/>
    <n v="3.2"/>
    <n v="2023"/>
    <s v="Monday"/>
    <s v="1 to 2 hours"/>
    <n v="3"/>
  </r>
  <r>
    <s v="Call_7309"/>
    <s v="C0015"/>
    <n v="81"/>
    <s v="R04"/>
    <d v="2023-01-17T00:00:00"/>
    <n v="86"/>
    <n v="2.4"/>
    <n v="2023"/>
    <s v="Tuesday"/>
    <s v="1 to 2 hours"/>
    <n v="2"/>
  </r>
  <r>
    <s v="Call_7310"/>
    <s v="C0009"/>
    <n v="106"/>
    <s v="R05"/>
    <d v="2023-01-17T00:00:00"/>
    <n v="108"/>
    <n v="5"/>
    <n v="2023"/>
    <s v="Tuesday"/>
    <s v="1 to 2 hours"/>
    <n v="5"/>
  </r>
  <r>
    <s v="Call_7311"/>
    <s v="C0004"/>
    <n v="74"/>
    <s v="R04"/>
    <d v="2023-01-17T00:00:00"/>
    <n v="96"/>
    <n v="4.7"/>
    <n v="2023"/>
    <s v="Tuesday"/>
    <s v="1 to 2 hours"/>
    <n v="5"/>
  </r>
  <r>
    <s v="Call_7312"/>
    <s v="C0010"/>
    <n v="105"/>
    <s v="R02"/>
    <d v="2023-01-18T00:00:00"/>
    <n v="80"/>
    <n v="4.7"/>
    <n v="2023"/>
    <s v="Wednesday"/>
    <s v="1 to 2 hours"/>
    <n v="5"/>
  </r>
  <r>
    <s v="Call_7313"/>
    <s v="C0009"/>
    <n v="89"/>
    <s v="R05"/>
    <d v="2023-01-18T00:00:00"/>
    <n v="155"/>
    <n v="4.0999999999999996"/>
    <n v="2023"/>
    <s v="Wednesday"/>
    <s v="1 to 2 hours"/>
    <n v="4"/>
  </r>
  <r>
    <s v="Call_7314"/>
    <s v="C0013"/>
    <n v="132"/>
    <s v="R03"/>
    <d v="2023-01-18T00:00:00"/>
    <n v="168"/>
    <n v="4.0999999999999996"/>
    <n v="2023"/>
    <s v="Wednesday"/>
    <s v="More than 2 hours"/>
    <n v="4"/>
  </r>
  <r>
    <s v="Call_7315"/>
    <s v="C0001"/>
    <n v="105"/>
    <s v="R01"/>
    <d v="2023-01-18T00:00:00"/>
    <n v="56"/>
    <n v="3.6"/>
    <n v="2023"/>
    <s v="Wednesday"/>
    <s v="1 to 2 hours"/>
    <n v="4"/>
  </r>
  <r>
    <s v="Call_7316"/>
    <s v="C0011"/>
    <n v="13"/>
    <s v="R03"/>
    <d v="2023-01-19T00:00:00"/>
    <n v="32"/>
    <n v="4.4000000000000004"/>
    <n v="2023"/>
    <s v="Thursday"/>
    <s v="10 to 30 mins"/>
    <n v="4"/>
  </r>
  <r>
    <s v="Call_7317"/>
    <s v="C0014"/>
    <n v="131"/>
    <s v="R01"/>
    <d v="2023-01-19T00:00:00"/>
    <n v="78"/>
    <n v="4.4000000000000004"/>
    <n v="2023"/>
    <s v="Thursday"/>
    <s v="More than 2 hours"/>
    <n v="4"/>
  </r>
  <r>
    <s v="Call_7318"/>
    <s v="C0004"/>
    <n v="104"/>
    <s v="R05"/>
    <d v="2023-01-19T00:00:00"/>
    <n v="86"/>
    <n v="4"/>
    <n v="2023"/>
    <s v="Thursday"/>
    <s v="1 to 2 hours"/>
    <n v="4"/>
  </r>
  <r>
    <s v="Call_7319"/>
    <s v="C0003"/>
    <n v="90"/>
    <s v="R02"/>
    <d v="2023-01-20T00:00:00"/>
    <n v="64"/>
    <n v="3.8"/>
    <n v="2023"/>
    <s v="Friday"/>
    <s v="1 to 2 hours"/>
    <n v="4"/>
  </r>
  <r>
    <s v="Call_7320"/>
    <s v="C0012"/>
    <n v="37"/>
    <s v="R02"/>
    <d v="2023-01-20T00:00:00"/>
    <n v="96"/>
    <n v="3.6"/>
    <n v="2023"/>
    <s v="Friday"/>
    <s v="30 to 60 mins"/>
    <n v="4"/>
  </r>
  <r>
    <s v="Call_7321"/>
    <s v="C0002"/>
    <n v="149"/>
    <s v="R01"/>
    <d v="2023-01-20T00:00:00"/>
    <n v="72"/>
    <n v="4.3"/>
    <n v="2023"/>
    <s v="Friday"/>
    <s v="More than 2 hours"/>
    <n v="4"/>
  </r>
  <r>
    <s v="Call_7322"/>
    <s v="C0013"/>
    <n v="100"/>
    <s v="R04"/>
    <d v="2023-01-21T00:00:00"/>
    <n v="135"/>
    <n v="3.8"/>
    <n v="2023"/>
    <s v="Saturday"/>
    <s v="1 to 2 hours"/>
    <n v="4"/>
  </r>
  <r>
    <s v="Call_7323"/>
    <s v="C0013"/>
    <n v="79"/>
    <s v="R03"/>
    <d v="2023-01-21T00:00:00"/>
    <n v="140"/>
    <n v="4.5"/>
    <n v="2023"/>
    <s v="Saturday"/>
    <s v="1 to 2 hours"/>
    <n v="5"/>
  </r>
  <r>
    <s v="Call_7324"/>
    <s v="C0008"/>
    <n v="157"/>
    <s v="R01"/>
    <d v="2023-01-21T00:00:00"/>
    <n v="69"/>
    <n v="4.5"/>
    <n v="2023"/>
    <s v="Saturday"/>
    <s v="More than 2 hours"/>
    <n v="5"/>
  </r>
  <r>
    <s v="Call_7325"/>
    <s v="C0013"/>
    <n v="59"/>
    <s v="R05"/>
    <d v="2023-01-22T00:00:00"/>
    <n v="136"/>
    <n v="4.5999999999999996"/>
    <n v="2023"/>
    <s v="Sunday"/>
    <s v="30 to 60 mins"/>
    <n v="5"/>
  </r>
  <r>
    <s v="Call_7326"/>
    <s v="C0012"/>
    <n v="83"/>
    <s v="R01"/>
    <d v="2023-01-22T00:00:00"/>
    <n v="28"/>
    <n v="4.5"/>
    <n v="2023"/>
    <s v="Sunday"/>
    <s v="1 to 2 hours"/>
    <n v="5"/>
  </r>
  <r>
    <s v="Call_7327"/>
    <s v="C0008"/>
    <n v="58"/>
    <s v="R02"/>
    <d v="2023-01-23T00:00:00"/>
    <n v="135"/>
    <n v="3.3"/>
    <n v="2023"/>
    <s v="Monday"/>
    <s v="30 to 60 mins"/>
    <n v="3"/>
  </r>
  <r>
    <s v="Call_7328"/>
    <s v="C0015"/>
    <n v="118"/>
    <s v="R02"/>
    <d v="2023-01-23T00:00:00"/>
    <n v="126"/>
    <n v="2.2999999999999998"/>
    <n v="2023"/>
    <s v="Monday"/>
    <s v="1 to 2 hours"/>
    <n v="2"/>
  </r>
  <r>
    <s v="Call_7329"/>
    <s v="C0011"/>
    <n v="63"/>
    <s v="R05"/>
    <d v="2023-01-23T00:00:00"/>
    <n v="160"/>
    <n v="4.3"/>
    <n v="2023"/>
    <s v="Monday"/>
    <s v="1 to 2 hours"/>
    <n v="4"/>
  </r>
  <r>
    <s v="Call_7330"/>
    <s v="C0008"/>
    <n v="95"/>
    <s v="R02"/>
    <d v="2023-01-24T00:00:00"/>
    <n v="48"/>
    <n v="4.5999999999999996"/>
    <n v="2023"/>
    <s v="Tuesday"/>
    <s v="1 to 2 hours"/>
    <n v="5"/>
  </r>
  <r>
    <s v="Call_7331"/>
    <s v="C0013"/>
    <n v="74"/>
    <s v="R01"/>
    <d v="2023-01-24T00:00:00"/>
    <n v="66"/>
    <n v="4"/>
    <n v="2023"/>
    <s v="Tuesday"/>
    <s v="1 to 2 hours"/>
    <n v="4"/>
  </r>
  <r>
    <s v="Call_7332"/>
    <s v="C0010"/>
    <n v="130"/>
    <s v="R04"/>
    <d v="2023-01-24T00:00:00"/>
    <n v="126"/>
    <n v="2.5"/>
    <n v="2023"/>
    <s v="Tuesday"/>
    <s v="More than 2 hours"/>
    <n v="3"/>
  </r>
  <r>
    <s v="Call_7333"/>
    <s v="C0015"/>
    <n v="110"/>
    <s v="R03"/>
    <d v="2023-01-24T00:00:00"/>
    <n v="96"/>
    <n v="5"/>
    <n v="2023"/>
    <s v="Tuesday"/>
    <s v="1 to 2 hours"/>
    <n v="5"/>
  </r>
  <r>
    <s v="Call_7334"/>
    <s v="C0013"/>
    <n v="71"/>
    <s v="R05"/>
    <d v="2023-01-25T00:00:00"/>
    <n v="90"/>
    <n v="3.8"/>
    <n v="2023"/>
    <s v="Wednesday"/>
    <s v="1 to 2 hours"/>
    <n v="4"/>
  </r>
  <r>
    <s v="Call_7335"/>
    <s v="C0001"/>
    <n v="147"/>
    <s v="R04"/>
    <d v="2023-01-25T00:00:00"/>
    <n v="105"/>
    <n v="4.4000000000000004"/>
    <n v="2023"/>
    <s v="Wednesday"/>
    <s v="More than 2 hours"/>
    <n v="4"/>
  </r>
  <r>
    <s v="Call_7336"/>
    <s v="C0004"/>
    <n v="69"/>
    <s v="R02"/>
    <d v="2023-01-26T00:00:00"/>
    <n v="40"/>
    <n v="3.8"/>
    <n v="2023"/>
    <s v="Thursday"/>
    <s v="1 to 2 hours"/>
    <n v="4"/>
  </r>
  <r>
    <s v="Call_7337"/>
    <s v="C0015"/>
    <n v="50"/>
    <s v="R05"/>
    <d v="2023-01-26T00:00:00"/>
    <n v="60"/>
    <n v="2"/>
    <n v="2023"/>
    <s v="Thursday"/>
    <s v="30 to 60 mins"/>
    <n v="2"/>
  </r>
  <r>
    <s v="Call_7338"/>
    <s v="C0010"/>
    <n v="124"/>
    <s v="R04"/>
    <d v="2023-01-27T00:00:00"/>
    <n v="215"/>
    <n v="4.0999999999999996"/>
    <n v="2023"/>
    <s v="Friday"/>
    <s v="More than 2 hours"/>
    <n v="4"/>
  </r>
  <r>
    <s v="Call_7339"/>
    <s v="C0005"/>
    <n v="81"/>
    <s v="R01"/>
    <d v="2023-01-27T00:00:00"/>
    <n v="156"/>
    <n v="2.6"/>
    <n v="2023"/>
    <s v="Friday"/>
    <s v="1 to 2 hours"/>
    <n v="3"/>
  </r>
  <r>
    <s v="Call_7340"/>
    <s v="C0006"/>
    <n v="141"/>
    <s v="R03"/>
    <d v="2023-01-27T00:00:00"/>
    <n v="54"/>
    <n v="0"/>
    <n v="2023"/>
    <s v="Friday"/>
    <s v="More than 2 hours"/>
    <n v="0"/>
  </r>
  <r>
    <s v="Call_7341"/>
    <s v="C0006"/>
    <n v="168"/>
    <s v="R03"/>
    <d v="2023-01-28T00:00:00"/>
    <n v="160"/>
    <n v="3.9"/>
    <n v="2023"/>
    <s v="Saturday"/>
    <s v="More than 2 hours"/>
    <n v="4"/>
  </r>
  <r>
    <s v="Call_7342"/>
    <s v="C0001"/>
    <n v="101"/>
    <s v="R01"/>
    <d v="2023-01-28T00:00:00"/>
    <n v="80"/>
    <n v="4.8"/>
    <n v="2023"/>
    <s v="Saturday"/>
    <s v="1 to 2 hours"/>
    <n v="5"/>
  </r>
  <r>
    <s v="Call_7343"/>
    <s v="C0013"/>
    <n v="67"/>
    <s v="R01"/>
    <d v="2023-01-28T00:00:00"/>
    <n v="168"/>
    <n v="2.6"/>
    <n v="2023"/>
    <s v="Saturday"/>
    <s v="1 to 2 hours"/>
    <n v="3"/>
  </r>
  <r>
    <s v="Call_7344"/>
    <s v="C0008"/>
    <n v="114"/>
    <s v="R03"/>
    <d v="2023-01-30T00:00:00"/>
    <n v="42"/>
    <n v="2.6"/>
    <n v="2023"/>
    <s v="Monday"/>
    <s v="1 to 2 hours"/>
    <n v="3"/>
  </r>
  <r>
    <s v="Call_7345"/>
    <s v="C0005"/>
    <n v="42"/>
    <s v="R01"/>
    <d v="2023-01-30T00:00:00"/>
    <n v="205"/>
    <n v="3.6"/>
    <n v="2023"/>
    <s v="Monday"/>
    <s v="30 to 60 mins"/>
    <n v="4"/>
  </r>
  <r>
    <s v="Call_7346"/>
    <s v="C0011"/>
    <n v="69"/>
    <s v="R03"/>
    <d v="2023-01-30T00:00:00"/>
    <n v="108"/>
    <n v="3.3"/>
    <n v="2023"/>
    <s v="Monday"/>
    <s v="1 to 2 hours"/>
    <n v="3"/>
  </r>
  <r>
    <s v="Call_7347"/>
    <s v="C0010"/>
    <n v="145"/>
    <s v="R02"/>
    <d v="2023-01-30T00:00:00"/>
    <n v="78"/>
    <n v="1.9"/>
    <n v="2023"/>
    <s v="Monday"/>
    <s v="More than 2 hours"/>
    <n v="2"/>
  </r>
  <r>
    <s v="Call_7348"/>
    <s v="C0004"/>
    <n v="43"/>
    <s v="R03"/>
    <d v="2023-01-30T00:00:00"/>
    <n v="23"/>
    <n v="4.9000000000000004"/>
    <n v="2023"/>
    <s v="Monday"/>
    <s v="30 to 60 mins"/>
    <n v="5"/>
  </r>
  <r>
    <s v="Call_7349"/>
    <s v="C0011"/>
    <n v="62"/>
    <s v="R05"/>
    <d v="2023-01-31T00:00:00"/>
    <n v="99"/>
    <n v="3.6"/>
    <n v="2023"/>
    <s v="Tuesday"/>
    <s v="1 to 2 hours"/>
    <n v="4"/>
  </r>
  <r>
    <s v="Call_7350"/>
    <s v="C0009"/>
    <n v="79"/>
    <s v="R03"/>
    <d v="2023-02-01T00:00:00"/>
    <n v="148"/>
    <n v="4.5"/>
    <n v="2023"/>
    <s v="Wednesday"/>
    <s v="1 to 2 hours"/>
    <n v="5"/>
  </r>
  <r>
    <s v="Call_7351"/>
    <s v="C0010"/>
    <n v="45"/>
    <s v="R04"/>
    <d v="2023-02-01T00:00:00"/>
    <n v="34"/>
    <n v="3.7"/>
    <n v="2023"/>
    <s v="Wednesday"/>
    <s v="30 to 60 mins"/>
    <n v="4"/>
  </r>
  <r>
    <s v="Call_7352"/>
    <s v="C0011"/>
    <n v="137"/>
    <s v="R03"/>
    <d v="2023-02-01T00:00:00"/>
    <n v="86"/>
    <n v="4.8"/>
    <n v="2023"/>
    <s v="Wednesday"/>
    <s v="More than 2 hours"/>
    <n v="5"/>
  </r>
  <r>
    <s v="Call_7353"/>
    <s v="C0008"/>
    <n v="109"/>
    <s v="R05"/>
    <d v="2023-02-01T00:00:00"/>
    <n v="105"/>
    <n v="3.3"/>
    <n v="2023"/>
    <s v="Wednesday"/>
    <s v="1 to 2 hours"/>
    <n v="3"/>
  </r>
  <r>
    <s v="Call_7354"/>
    <s v="C0004"/>
    <n v="78"/>
    <s v="R05"/>
    <d v="2023-02-01T00:00:00"/>
    <n v="62"/>
    <n v="3.1"/>
    <n v="2023"/>
    <s v="Wednesday"/>
    <s v="1 to 2 hours"/>
    <n v="3"/>
  </r>
  <r>
    <s v="Call_7355"/>
    <s v="C0011"/>
    <n v="137"/>
    <s v="R04"/>
    <d v="2023-02-01T00:00:00"/>
    <n v="90"/>
    <n v="4.0999999999999996"/>
    <n v="2023"/>
    <s v="Wednesday"/>
    <s v="More than 2 hours"/>
    <n v="4"/>
  </r>
  <r>
    <s v="Call_7356"/>
    <s v="C0014"/>
    <n v="99"/>
    <s v="R05"/>
    <d v="2023-02-02T00:00:00"/>
    <n v="112"/>
    <n v="4.9000000000000004"/>
    <n v="2023"/>
    <s v="Thursday"/>
    <s v="1 to 2 hours"/>
    <n v="5"/>
  </r>
  <r>
    <s v="Call_7357"/>
    <s v="C0015"/>
    <n v="100"/>
    <s v="R05"/>
    <d v="2023-02-02T00:00:00"/>
    <n v="135"/>
    <n v="4"/>
    <n v="2023"/>
    <s v="Thursday"/>
    <s v="1 to 2 hours"/>
    <n v="4"/>
  </r>
  <r>
    <s v="Call_7358"/>
    <s v="C0004"/>
    <n v="47"/>
    <s v="R02"/>
    <d v="2023-02-02T00:00:00"/>
    <n v="34"/>
    <n v="2.1"/>
    <n v="2023"/>
    <s v="Thursday"/>
    <s v="30 to 60 mins"/>
    <n v="2"/>
  </r>
  <r>
    <s v="Call_7359"/>
    <s v="C0008"/>
    <n v="87"/>
    <s v="R01"/>
    <d v="2023-02-02T00:00:00"/>
    <n v="155"/>
    <n v="4.5"/>
    <n v="2023"/>
    <s v="Thursday"/>
    <s v="1 to 2 hours"/>
    <n v="5"/>
  </r>
  <r>
    <s v="Call_7360"/>
    <s v="C0014"/>
    <n v="143"/>
    <s v="R01"/>
    <d v="2023-02-04T00:00:00"/>
    <n v="124"/>
    <n v="4.9000000000000004"/>
    <n v="2023"/>
    <s v="Saturday"/>
    <s v="More than 2 hours"/>
    <n v="5"/>
  </r>
  <r>
    <s v="Call_7361"/>
    <s v="C0015"/>
    <n v="84"/>
    <s v="R05"/>
    <d v="2023-02-04T00:00:00"/>
    <n v="195"/>
    <n v="4.0999999999999996"/>
    <n v="2023"/>
    <s v="Saturday"/>
    <s v="1 to 2 hours"/>
    <n v="4"/>
  </r>
  <r>
    <s v="Call_7362"/>
    <s v="C0001"/>
    <n v="55"/>
    <s v="R01"/>
    <d v="2023-02-05T00:00:00"/>
    <n v="78"/>
    <n v="4.5"/>
    <n v="2023"/>
    <s v="Sunday"/>
    <s v="30 to 60 mins"/>
    <n v="5"/>
  </r>
  <r>
    <s v="Call_7363"/>
    <s v="C0007"/>
    <n v="135"/>
    <s v="R04"/>
    <d v="2023-02-07T00:00:00"/>
    <n v="35"/>
    <n v="4.8"/>
    <n v="2023"/>
    <s v="Tuesday"/>
    <s v="More than 2 hours"/>
    <n v="5"/>
  </r>
  <r>
    <s v="Call_7364"/>
    <s v="C0012"/>
    <n v="152"/>
    <s v="R02"/>
    <d v="2023-02-07T00:00:00"/>
    <n v="123"/>
    <n v="4.5999999999999996"/>
    <n v="2023"/>
    <s v="Tuesday"/>
    <s v="More than 2 hours"/>
    <n v="5"/>
  </r>
  <r>
    <s v="Call_7365"/>
    <s v="C0005"/>
    <n v="132"/>
    <s v="R02"/>
    <d v="2023-02-07T00:00:00"/>
    <n v="43"/>
    <n v="4.5999999999999996"/>
    <n v="2023"/>
    <s v="Tuesday"/>
    <s v="More than 2 hours"/>
    <n v="5"/>
  </r>
  <r>
    <s v="Call_7366"/>
    <s v="C0006"/>
    <n v="60"/>
    <s v="R05"/>
    <d v="2023-02-08T00:00:00"/>
    <n v="69"/>
    <n v="4.3"/>
    <n v="2023"/>
    <s v="Wednesday"/>
    <s v="30 to 60 mins"/>
    <n v="4"/>
  </r>
  <r>
    <s v="Call_7367"/>
    <s v="C0012"/>
    <n v="95"/>
    <s v="R02"/>
    <d v="2023-02-08T00:00:00"/>
    <n v="130"/>
    <n v="5"/>
    <n v="2023"/>
    <s v="Wednesday"/>
    <s v="1 to 2 hours"/>
    <n v="5"/>
  </r>
  <r>
    <s v="Call_7368"/>
    <s v="C0003"/>
    <n v="96"/>
    <s v="R03"/>
    <d v="2023-02-08T00:00:00"/>
    <n v="120"/>
    <n v="4"/>
    <n v="2023"/>
    <s v="Wednesday"/>
    <s v="1 to 2 hours"/>
    <n v="4"/>
  </r>
  <r>
    <s v="Call_7369"/>
    <s v="C0001"/>
    <n v="45"/>
    <s v="R05"/>
    <d v="2023-02-09T00:00:00"/>
    <n v="84"/>
    <n v="4.5999999999999996"/>
    <n v="2023"/>
    <s v="Thursday"/>
    <s v="30 to 60 mins"/>
    <n v="5"/>
  </r>
  <r>
    <s v="Call_7370"/>
    <s v="C0003"/>
    <n v="132"/>
    <s v="R03"/>
    <d v="2023-02-10T00:00:00"/>
    <n v="112"/>
    <n v="4.5"/>
    <n v="2023"/>
    <s v="Friday"/>
    <s v="More than 2 hours"/>
    <n v="5"/>
  </r>
  <r>
    <s v="Call_7371"/>
    <s v="C0013"/>
    <n v="95"/>
    <s v="R05"/>
    <d v="2023-02-10T00:00:00"/>
    <n v="66"/>
    <n v="4.5999999999999996"/>
    <n v="2023"/>
    <s v="Friday"/>
    <s v="1 to 2 hours"/>
    <n v="5"/>
  </r>
  <r>
    <s v="Call_7372"/>
    <s v="C0012"/>
    <n v="131"/>
    <s v="R01"/>
    <d v="2023-02-10T00:00:00"/>
    <n v="172"/>
    <n v="2.6"/>
    <n v="2023"/>
    <s v="Friday"/>
    <s v="More than 2 hours"/>
    <n v="3"/>
  </r>
  <r>
    <s v="Call_7373"/>
    <s v="C0009"/>
    <n v="67"/>
    <s v="R04"/>
    <d v="2023-02-11T00:00:00"/>
    <n v="24"/>
    <n v="4.3"/>
    <n v="2023"/>
    <s v="Saturday"/>
    <s v="1 to 2 hours"/>
    <n v="4"/>
  </r>
  <r>
    <s v="Call_7374"/>
    <s v="C0014"/>
    <n v="111"/>
    <s v="R01"/>
    <d v="2023-02-12T00:00:00"/>
    <n v="43"/>
    <n v="3.9"/>
    <n v="2023"/>
    <s v="Sunday"/>
    <s v="1 to 2 hours"/>
    <n v="4"/>
  </r>
  <r>
    <s v="Call_7375"/>
    <s v="C0005"/>
    <n v="78"/>
    <s v="R02"/>
    <d v="2023-02-12T00:00:00"/>
    <n v="23"/>
    <n v="5"/>
    <n v="2023"/>
    <s v="Sunday"/>
    <s v="1 to 2 hours"/>
    <n v="5"/>
  </r>
  <r>
    <s v="Call_7376"/>
    <s v="C0002"/>
    <n v="28"/>
    <s v="R03"/>
    <d v="2023-02-12T00:00:00"/>
    <n v="74"/>
    <n v="3.5"/>
    <n v="2023"/>
    <s v="Sunday"/>
    <s v="10 to 30 mins"/>
    <n v="4"/>
  </r>
  <r>
    <s v="Call_7377"/>
    <s v="C0004"/>
    <n v="127"/>
    <s v="R04"/>
    <d v="2023-02-13T00:00:00"/>
    <n v="165"/>
    <n v="4.7"/>
    <n v="2023"/>
    <s v="Monday"/>
    <s v="More than 2 hours"/>
    <n v="5"/>
  </r>
  <r>
    <s v="Call_7378"/>
    <s v="C0015"/>
    <n v="137"/>
    <s v="R01"/>
    <d v="2023-02-13T00:00:00"/>
    <n v="34"/>
    <n v="2.9"/>
    <n v="2023"/>
    <s v="Monday"/>
    <s v="More than 2 hours"/>
    <n v="3"/>
  </r>
  <r>
    <s v="Call_7379"/>
    <s v="C0004"/>
    <n v="76"/>
    <s v="R03"/>
    <d v="2023-02-13T00:00:00"/>
    <n v="64"/>
    <n v="3.4"/>
    <n v="2023"/>
    <s v="Monday"/>
    <s v="1 to 2 hours"/>
    <n v="3"/>
  </r>
  <r>
    <s v="Call_7380"/>
    <s v="C0005"/>
    <n v="80"/>
    <s v="R04"/>
    <d v="2023-02-14T00:00:00"/>
    <n v="155"/>
    <n v="3.2"/>
    <n v="2023"/>
    <s v="Tuesday"/>
    <s v="1 to 2 hours"/>
    <n v="3"/>
  </r>
  <r>
    <s v="Call_7381"/>
    <s v="C0004"/>
    <n v="95"/>
    <s v="R02"/>
    <d v="2023-02-15T00:00:00"/>
    <n v="120"/>
    <n v="4.8"/>
    <n v="2023"/>
    <s v="Wednesday"/>
    <s v="1 to 2 hours"/>
    <n v="5"/>
  </r>
  <r>
    <s v="Call_7382"/>
    <s v="C0006"/>
    <n v="30"/>
    <s v="R03"/>
    <d v="2023-02-15T00:00:00"/>
    <n v="105"/>
    <n v="3.6"/>
    <n v="2023"/>
    <s v="Wednesday"/>
    <s v="10 to 30 mins"/>
    <n v="4"/>
  </r>
  <r>
    <s v="Call_7383"/>
    <s v="C0011"/>
    <n v="19"/>
    <s v="R01"/>
    <d v="2023-02-15T00:00:00"/>
    <n v="28"/>
    <n v="4.9000000000000004"/>
    <n v="2023"/>
    <s v="Wednesday"/>
    <s v="10 to 30 mins"/>
    <n v="5"/>
  </r>
  <r>
    <s v="Call_7384"/>
    <s v="C0010"/>
    <n v="38"/>
    <s v="R04"/>
    <d v="2023-02-15T00:00:00"/>
    <n v="100"/>
    <n v="4.8"/>
    <n v="2023"/>
    <s v="Wednesday"/>
    <s v="30 to 60 mins"/>
    <n v="5"/>
  </r>
  <r>
    <s v="Call_7385"/>
    <s v="C0013"/>
    <n v="55"/>
    <s v="R01"/>
    <d v="2023-02-15T00:00:00"/>
    <n v="23"/>
    <n v="3.6"/>
    <n v="2023"/>
    <s v="Wednesday"/>
    <s v="30 to 60 mins"/>
    <n v="4"/>
  </r>
  <r>
    <s v="Call_7386"/>
    <s v="C0009"/>
    <n v="27"/>
    <s v="R03"/>
    <d v="2023-02-16T00:00:00"/>
    <n v="70"/>
    <n v="3.9"/>
    <n v="2023"/>
    <s v="Thursday"/>
    <s v="10 to 30 mins"/>
    <n v="4"/>
  </r>
  <r>
    <s v="Call_7387"/>
    <s v="C0009"/>
    <n v="32"/>
    <s v="R03"/>
    <d v="2023-02-16T00:00:00"/>
    <n v="37"/>
    <n v="1.9"/>
    <n v="2023"/>
    <s v="Thursday"/>
    <s v="30 to 60 mins"/>
    <n v="2"/>
  </r>
  <r>
    <s v="Call_7388"/>
    <s v="C0002"/>
    <n v="116"/>
    <s v="R05"/>
    <d v="2023-02-16T00:00:00"/>
    <n v="140"/>
    <n v="3.6"/>
    <n v="2023"/>
    <s v="Thursday"/>
    <s v="1 to 2 hours"/>
    <n v="4"/>
  </r>
  <r>
    <s v="Call_7389"/>
    <s v="C0003"/>
    <n v="99"/>
    <s v="R02"/>
    <d v="2023-02-16T00:00:00"/>
    <n v="78"/>
    <n v="4.0999999999999996"/>
    <n v="2023"/>
    <s v="Thursday"/>
    <s v="1 to 2 hours"/>
    <n v="4"/>
  </r>
  <r>
    <s v="Call_7390"/>
    <s v="C0004"/>
    <n v="75"/>
    <s v="R03"/>
    <d v="2023-02-17T00:00:00"/>
    <n v="21"/>
    <n v="4.2"/>
    <n v="2023"/>
    <s v="Friday"/>
    <s v="1 to 2 hours"/>
    <n v="4"/>
  </r>
  <r>
    <s v="Call_7391"/>
    <s v="C0005"/>
    <n v="57"/>
    <s v="R05"/>
    <d v="2023-02-17T00:00:00"/>
    <n v="88"/>
    <n v="4.3"/>
    <n v="2023"/>
    <s v="Friday"/>
    <s v="30 to 60 mins"/>
    <n v="4"/>
  </r>
  <r>
    <s v="Call_7392"/>
    <s v="C0007"/>
    <n v="155"/>
    <s v="R05"/>
    <d v="2023-02-18T00:00:00"/>
    <n v="180"/>
    <n v="2.2000000000000002"/>
    <n v="2023"/>
    <s v="Saturday"/>
    <s v="More than 2 hours"/>
    <n v="2"/>
  </r>
  <r>
    <s v="Call_7393"/>
    <s v="C0003"/>
    <n v="68"/>
    <s v="R02"/>
    <d v="2023-02-18T00:00:00"/>
    <n v="22"/>
    <n v="3.3"/>
    <n v="2023"/>
    <s v="Saturday"/>
    <s v="1 to 2 hours"/>
    <n v="3"/>
  </r>
  <r>
    <s v="Call_7394"/>
    <s v="C0010"/>
    <n v="95"/>
    <s v="R02"/>
    <d v="2023-02-18T00:00:00"/>
    <n v="52"/>
    <n v="4.8"/>
    <n v="2023"/>
    <s v="Saturday"/>
    <s v="1 to 2 hours"/>
    <n v="5"/>
  </r>
  <r>
    <s v="Call_7395"/>
    <s v="C0015"/>
    <n v="65"/>
    <s v="R05"/>
    <d v="2023-02-19T00:00:00"/>
    <n v="80"/>
    <n v="4"/>
    <n v="2023"/>
    <s v="Sunday"/>
    <s v="1 to 2 hours"/>
    <n v="4"/>
  </r>
  <r>
    <s v="Call_7396"/>
    <s v="C0011"/>
    <n v="114"/>
    <s v="R01"/>
    <d v="2023-02-19T00:00:00"/>
    <n v="54"/>
    <n v="1.1000000000000001"/>
    <n v="2023"/>
    <s v="Sunday"/>
    <s v="1 to 2 hours"/>
    <n v="1"/>
  </r>
  <r>
    <s v="Call_7397"/>
    <s v="C0004"/>
    <n v="155"/>
    <s v="R01"/>
    <d v="2023-02-20T00:00:00"/>
    <n v="80"/>
    <n v="3.9"/>
    <n v="2023"/>
    <s v="Monday"/>
    <s v="More than 2 hours"/>
    <n v="4"/>
  </r>
  <r>
    <s v="Call_7398"/>
    <s v="C0015"/>
    <n v="114"/>
    <s v="R05"/>
    <d v="2023-02-21T00:00:00"/>
    <n v="120"/>
    <n v="1.8"/>
    <n v="2023"/>
    <s v="Tuesday"/>
    <s v="1 to 2 hours"/>
    <n v="2"/>
  </r>
  <r>
    <s v="Call_7399"/>
    <s v="C0007"/>
    <n v="130"/>
    <s v="R04"/>
    <d v="2023-02-21T00:00:00"/>
    <n v="150"/>
    <n v="1"/>
    <n v="2023"/>
    <s v="Tuesday"/>
    <s v="More than 2 hours"/>
    <n v="1"/>
  </r>
  <r>
    <s v="Call_7400"/>
    <s v="C0004"/>
    <n v="89"/>
    <s v="R05"/>
    <d v="2023-02-21T00:00:00"/>
    <n v="90"/>
    <n v="4.3"/>
    <n v="2023"/>
    <s v="Tuesday"/>
    <s v="1 to 2 hours"/>
    <n v="4"/>
  </r>
  <r>
    <s v="Call_7401"/>
    <s v="C0001"/>
    <n v="61"/>
    <s v="R03"/>
    <d v="2023-02-22T00:00:00"/>
    <n v="140"/>
    <n v="3.4"/>
    <n v="2023"/>
    <s v="Wednesday"/>
    <s v="1 to 2 hours"/>
    <n v="3"/>
  </r>
  <r>
    <s v="Call_7402"/>
    <s v="C0010"/>
    <n v="154"/>
    <s v="R01"/>
    <d v="2023-02-22T00:00:00"/>
    <n v="22"/>
    <n v="3.4"/>
    <n v="2023"/>
    <s v="Wednesday"/>
    <s v="More than 2 hours"/>
    <n v="3"/>
  </r>
  <r>
    <s v="Call_7403"/>
    <s v="C0015"/>
    <n v="115"/>
    <s v="R04"/>
    <d v="2023-02-23T00:00:00"/>
    <n v="150"/>
    <n v="4.0999999999999996"/>
    <n v="2023"/>
    <s v="Thursday"/>
    <s v="1 to 2 hours"/>
    <n v="4"/>
  </r>
  <r>
    <s v="Call_7404"/>
    <s v="C0008"/>
    <n v="138"/>
    <s v="R02"/>
    <d v="2023-02-24T00:00:00"/>
    <n v="35"/>
    <n v="4.8"/>
    <n v="2023"/>
    <s v="Friday"/>
    <s v="More than 2 hours"/>
    <n v="5"/>
  </r>
  <r>
    <s v="Call_7405"/>
    <s v="C0014"/>
    <n v="153"/>
    <s v="R05"/>
    <d v="2023-02-24T00:00:00"/>
    <n v="200"/>
    <n v="2"/>
    <n v="2023"/>
    <s v="Friday"/>
    <s v="More than 2 hours"/>
    <n v="2"/>
  </r>
  <r>
    <s v="Call_7406"/>
    <s v="C0015"/>
    <n v="61"/>
    <s v="R03"/>
    <d v="2023-02-25T00:00:00"/>
    <n v="150"/>
    <n v="4.5999999999999996"/>
    <n v="2023"/>
    <s v="Saturday"/>
    <s v="1 to 2 hours"/>
    <n v="5"/>
  </r>
  <r>
    <s v="Call_7407"/>
    <s v="C0009"/>
    <n v="62"/>
    <s v="R05"/>
    <d v="2023-02-25T00:00:00"/>
    <n v="21"/>
    <n v="2.6"/>
    <n v="2023"/>
    <s v="Saturday"/>
    <s v="1 to 2 hours"/>
    <n v="3"/>
  </r>
  <r>
    <s v="Call_7408"/>
    <s v="C0001"/>
    <n v="151"/>
    <s v="R04"/>
    <d v="2023-02-26T00:00:00"/>
    <n v="46"/>
    <n v="4.9000000000000004"/>
    <n v="2023"/>
    <s v="Sunday"/>
    <s v="More than 2 hours"/>
    <n v="5"/>
  </r>
  <r>
    <s v="Call_7409"/>
    <s v="C0012"/>
    <n v="102"/>
    <s v="R01"/>
    <d v="2023-02-26T00:00:00"/>
    <n v="165"/>
    <n v="2.7"/>
    <n v="2023"/>
    <s v="Sunday"/>
    <s v="1 to 2 hours"/>
    <n v="3"/>
  </r>
  <r>
    <s v="Call_7410"/>
    <s v="C0006"/>
    <n v="64"/>
    <s v="R05"/>
    <d v="2023-02-26T00:00:00"/>
    <n v="84"/>
    <n v="4.0999999999999996"/>
    <n v="2023"/>
    <s v="Sunday"/>
    <s v="1 to 2 hours"/>
    <n v="4"/>
  </r>
  <r>
    <s v="Call_7411"/>
    <s v="C0004"/>
    <n v="6"/>
    <s v="R01"/>
    <d v="2023-02-27T00:00:00"/>
    <n v="102"/>
    <n v="4.4000000000000004"/>
    <n v="2023"/>
    <s v="Monday"/>
    <s v="Under 10 mins"/>
    <n v="4"/>
  </r>
  <r>
    <s v="Call_7412"/>
    <s v="C0006"/>
    <n v="129"/>
    <s v="R05"/>
    <d v="2023-02-27T00:00:00"/>
    <n v="180"/>
    <n v="4.8"/>
    <n v="2023"/>
    <s v="Monday"/>
    <s v="More than 2 hours"/>
    <n v="5"/>
  </r>
  <r>
    <s v="Call_7413"/>
    <s v="C0009"/>
    <n v="42"/>
    <s v="R04"/>
    <d v="2023-02-28T00:00:00"/>
    <n v="111"/>
    <n v="3"/>
    <n v="2023"/>
    <s v="Tuesday"/>
    <s v="30 to 60 mins"/>
    <n v="3"/>
  </r>
  <r>
    <s v="Call_7414"/>
    <s v="C0009"/>
    <n v="71"/>
    <s v="R03"/>
    <d v="2023-02-28T00:00:00"/>
    <n v="104"/>
    <n v="3.1"/>
    <n v="2023"/>
    <s v="Tuesday"/>
    <s v="1 to 2 hours"/>
    <n v="3"/>
  </r>
  <r>
    <s v="Call_7415"/>
    <s v="C0005"/>
    <n v="53"/>
    <s v="R01"/>
    <d v="2023-02-28T00:00:00"/>
    <n v="80"/>
    <n v="2.6"/>
    <n v="2023"/>
    <s v="Tuesday"/>
    <s v="30 to 60 mins"/>
    <n v="3"/>
  </r>
  <r>
    <s v="Call_7416"/>
    <s v="C0011"/>
    <n v="155"/>
    <s v="R03"/>
    <d v="2023-03-01T00:00:00"/>
    <n v="132"/>
    <n v="4.5999999999999996"/>
    <n v="2023"/>
    <s v="Wednesday"/>
    <s v="More than 2 hours"/>
    <n v="5"/>
  </r>
  <r>
    <s v="Call_7417"/>
    <s v="C0011"/>
    <n v="90"/>
    <s v="R04"/>
    <d v="2023-03-01T00:00:00"/>
    <n v="170"/>
    <n v="3.7"/>
    <n v="2023"/>
    <s v="Wednesday"/>
    <s v="1 to 2 hours"/>
    <n v="4"/>
  </r>
  <r>
    <s v="Call_7418"/>
    <s v="C0006"/>
    <n v="166"/>
    <s v="R02"/>
    <d v="2023-03-01T00:00:00"/>
    <n v="36"/>
    <n v="3.8"/>
    <n v="2023"/>
    <s v="Wednesday"/>
    <s v="More than 2 hours"/>
    <n v="4"/>
  </r>
  <r>
    <s v="Call_7419"/>
    <s v="C0002"/>
    <n v="89"/>
    <s v="R03"/>
    <d v="2023-03-01T00:00:00"/>
    <n v="126"/>
    <n v="3.6"/>
    <n v="2023"/>
    <s v="Wednesday"/>
    <s v="1 to 2 hours"/>
    <n v="4"/>
  </r>
  <r>
    <s v="Call_7420"/>
    <s v="C0015"/>
    <n v="152"/>
    <s v="R01"/>
    <d v="2023-03-01T00:00:00"/>
    <n v="215"/>
    <n v="4.4000000000000004"/>
    <n v="2023"/>
    <s v="Wednesday"/>
    <s v="More than 2 hours"/>
    <n v="4"/>
  </r>
  <r>
    <s v="Call_7421"/>
    <s v="C0002"/>
    <n v="137"/>
    <s v="R04"/>
    <d v="2023-03-01T00:00:00"/>
    <n v="114"/>
    <n v="3.2"/>
    <n v="2023"/>
    <s v="Wednesday"/>
    <s v="More than 2 hours"/>
    <n v="3"/>
  </r>
  <r>
    <s v="Call_7422"/>
    <s v="C0002"/>
    <n v="43"/>
    <s v="R04"/>
    <d v="2023-03-01T00:00:00"/>
    <n v="99"/>
    <n v="4.7"/>
    <n v="2023"/>
    <s v="Wednesday"/>
    <s v="30 to 60 mins"/>
    <n v="5"/>
  </r>
  <r>
    <s v="Call_7423"/>
    <s v="C0010"/>
    <n v="114"/>
    <s v="R04"/>
    <d v="2023-03-02T00:00:00"/>
    <n v="23"/>
    <n v="4.8"/>
    <n v="2023"/>
    <s v="Thursday"/>
    <s v="1 to 2 hours"/>
    <n v="5"/>
  </r>
  <r>
    <s v="Call_7424"/>
    <s v="C0014"/>
    <n v="103"/>
    <s v="R03"/>
    <d v="2023-03-02T00:00:00"/>
    <n v="75"/>
    <n v="2.7"/>
    <n v="2023"/>
    <s v="Thursday"/>
    <s v="1 to 2 hours"/>
    <n v="3"/>
  </r>
  <r>
    <s v="Call_7425"/>
    <s v="C0002"/>
    <n v="98"/>
    <s v="R01"/>
    <d v="2023-03-02T00:00:00"/>
    <n v="100"/>
    <n v="3.8"/>
    <n v="2023"/>
    <s v="Thursday"/>
    <s v="1 to 2 hours"/>
    <n v="4"/>
  </r>
  <r>
    <s v="Call_7426"/>
    <s v="C0006"/>
    <n v="106"/>
    <s v="R02"/>
    <d v="2023-03-02T00:00:00"/>
    <n v="108"/>
    <n v="4.3"/>
    <n v="2023"/>
    <s v="Thursday"/>
    <s v="1 to 2 hours"/>
    <n v="4"/>
  </r>
  <r>
    <s v="Call_7427"/>
    <s v="C0004"/>
    <n v="96"/>
    <s v="R02"/>
    <d v="2023-03-02T00:00:00"/>
    <n v="108"/>
    <n v="5"/>
    <n v="2023"/>
    <s v="Thursday"/>
    <s v="1 to 2 hours"/>
    <n v="5"/>
  </r>
  <r>
    <s v="Call_7428"/>
    <s v="C0014"/>
    <n v="70"/>
    <s v="R02"/>
    <d v="2023-03-02T00:00:00"/>
    <n v="28"/>
    <n v="4.8"/>
    <n v="2023"/>
    <s v="Thursday"/>
    <s v="1 to 2 hours"/>
    <n v="5"/>
  </r>
  <r>
    <s v="Call_7429"/>
    <s v="C0009"/>
    <n v="86"/>
    <s v="R05"/>
    <d v="2023-03-03T00:00:00"/>
    <n v="70"/>
    <n v="4.9000000000000004"/>
    <n v="2023"/>
    <s v="Friday"/>
    <s v="1 to 2 hours"/>
    <n v="5"/>
  </r>
  <r>
    <s v="Call_7430"/>
    <s v="C0005"/>
    <n v="64"/>
    <s v="R05"/>
    <d v="2023-03-03T00:00:00"/>
    <n v="172"/>
    <n v="4.0999999999999996"/>
    <n v="2023"/>
    <s v="Friday"/>
    <s v="1 to 2 hours"/>
    <n v="4"/>
  </r>
  <r>
    <s v="Call_7431"/>
    <s v="C0004"/>
    <n v="113"/>
    <s v="R01"/>
    <d v="2023-03-03T00:00:00"/>
    <n v="123"/>
    <n v="4.4000000000000004"/>
    <n v="2023"/>
    <s v="Friday"/>
    <s v="1 to 2 hours"/>
    <n v="4"/>
  </r>
  <r>
    <s v="Call_7432"/>
    <s v="C0004"/>
    <n v="21"/>
    <s v="R02"/>
    <d v="2023-03-03T00:00:00"/>
    <n v="93"/>
    <n v="3.4"/>
    <n v="2023"/>
    <s v="Friday"/>
    <s v="10 to 30 mins"/>
    <n v="3"/>
  </r>
  <r>
    <s v="Call_7433"/>
    <s v="C0012"/>
    <n v="107"/>
    <s v="R05"/>
    <d v="2023-03-03T00:00:00"/>
    <n v="66"/>
    <n v="4"/>
    <n v="2023"/>
    <s v="Friday"/>
    <s v="1 to 2 hours"/>
    <n v="4"/>
  </r>
  <r>
    <s v="Call_7434"/>
    <s v="C0012"/>
    <n v="131"/>
    <s v="R02"/>
    <d v="2023-03-03T00:00:00"/>
    <n v="39"/>
    <n v="2.4"/>
    <n v="2023"/>
    <s v="Friday"/>
    <s v="More than 2 hours"/>
    <n v="2"/>
  </r>
  <r>
    <s v="Call_7435"/>
    <s v="C0003"/>
    <n v="11"/>
    <s v="R03"/>
    <d v="2023-03-03T00:00:00"/>
    <n v="25"/>
    <n v="2.1"/>
    <n v="2023"/>
    <s v="Friday"/>
    <s v="10 to 30 mins"/>
    <n v="2"/>
  </r>
  <r>
    <s v="Call_7436"/>
    <s v="C0001"/>
    <n v="86"/>
    <s v="R01"/>
    <d v="2023-03-03T00:00:00"/>
    <n v="68"/>
    <n v="3"/>
    <n v="2023"/>
    <s v="Friday"/>
    <s v="1 to 2 hours"/>
    <n v="3"/>
  </r>
  <r>
    <s v="Call_7437"/>
    <s v="C0005"/>
    <n v="28"/>
    <s v="R03"/>
    <d v="2023-03-03T00:00:00"/>
    <n v="84"/>
    <n v="3.2"/>
    <n v="2023"/>
    <s v="Friday"/>
    <s v="10 to 30 mins"/>
    <n v="3"/>
  </r>
  <r>
    <s v="Call_7438"/>
    <s v="C0011"/>
    <n v="139"/>
    <s v="R02"/>
    <d v="2023-03-04T00:00:00"/>
    <n v="88"/>
    <n v="3.4"/>
    <n v="2023"/>
    <s v="Saturday"/>
    <s v="More than 2 hours"/>
    <n v="3"/>
  </r>
  <r>
    <s v="Call_7439"/>
    <s v="C0006"/>
    <n v="82"/>
    <s v="R01"/>
    <d v="2023-03-04T00:00:00"/>
    <n v="93"/>
    <n v="2.7"/>
    <n v="2023"/>
    <s v="Saturday"/>
    <s v="1 to 2 hours"/>
    <n v="3"/>
  </r>
  <r>
    <s v="Call_7440"/>
    <s v="C0004"/>
    <n v="101"/>
    <s v="R03"/>
    <d v="2023-03-04T00:00:00"/>
    <n v="128"/>
    <n v="5"/>
    <n v="2023"/>
    <s v="Saturday"/>
    <s v="1 to 2 hours"/>
    <n v="5"/>
  </r>
  <r>
    <s v="Call_7441"/>
    <s v="C0005"/>
    <n v="75"/>
    <s v="R04"/>
    <d v="2023-03-04T00:00:00"/>
    <n v="40"/>
    <n v="3.4"/>
    <n v="2023"/>
    <s v="Saturday"/>
    <s v="1 to 2 hours"/>
    <n v="3"/>
  </r>
  <r>
    <s v="Call_7442"/>
    <s v="C0010"/>
    <n v="40"/>
    <s v="R03"/>
    <d v="2023-03-05T00:00:00"/>
    <n v="92"/>
    <n v="4.7"/>
    <n v="2023"/>
    <s v="Sunday"/>
    <s v="30 to 60 mins"/>
    <n v="5"/>
  </r>
  <r>
    <s v="Call_7443"/>
    <s v="C0002"/>
    <n v="86"/>
    <s v="R02"/>
    <d v="2023-03-05T00:00:00"/>
    <n v="27"/>
    <n v="4.5"/>
    <n v="2023"/>
    <s v="Sunday"/>
    <s v="1 to 2 hours"/>
    <n v="5"/>
  </r>
  <r>
    <s v="Call_7444"/>
    <s v="C0007"/>
    <n v="131"/>
    <s v="R05"/>
    <d v="2023-03-05T00:00:00"/>
    <n v="140"/>
    <n v="4.0999999999999996"/>
    <n v="2023"/>
    <s v="Sunday"/>
    <s v="More than 2 hours"/>
    <n v="4"/>
  </r>
  <r>
    <s v="Call_7445"/>
    <s v="C0012"/>
    <n v="67"/>
    <s v="R01"/>
    <d v="2023-03-05T00:00:00"/>
    <n v="40"/>
    <n v="5"/>
    <n v="2023"/>
    <s v="Sunday"/>
    <s v="1 to 2 hours"/>
    <n v="5"/>
  </r>
  <r>
    <s v="Call_7446"/>
    <s v="C0008"/>
    <n v="71"/>
    <s v="R03"/>
    <d v="2023-03-05T00:00:00"/>
    <n v="102"/>
    <n v="4.7"/>
    <n v="2023"/>
    <s v="Sunday"/>
    <s v="1 to 2 hours"/>
    <n v="5"/>
  </r>
  <r>
    <s v="Call_7447"/>
    <s v="C0007"/>
    <n v="113"/>
    <s v="R05"/>
    <d v="2023-03-05T00:00:00"/>
    <n v="42"/>
    <n v="4.2"/>
    <n v="2023"/>
    <s v="Sunday"/>
    <s v="1 to 2 hours"/>
    <n v="4"/>
  </r>
  <r>
    <s v="Call_7448"/>
    <s v="C0006"/>
    <n v="53"/>
    <s v="R02"/>
    <d v="2023-03-06T00:00:00"/>
    <n v="210"/>
    <n v="3.9"/>
    <n v="2023"/>
    <s v="Monday"/>
    <s v="30 to 60 mins"/>
    <n v="4"/>
  </r>
  <r>
    <s v="Call_7449"/>
    <s v="C0007"/>
    <n v="153"/>
    <s v="R01"/>
    <d v="2023-03-06T00:00:00"/>
    <n v="34"/>
    <n v="3"/>
    <n v="2023"/>
    <s v="Monday"/>
    <s v="More than 2 hours"/>
    <n v="3"/>
  </r>
  <r>
    <s v="Call_7450"/>
    <s v="C0012"/>
    <n v="73"/>
    <s v="R04"/>
    <d v="2023-03-06T00:00:00"/>
    <n v="215"/>
    <n v="3.6"/>
    <n v="2023"/>
    <s v="Monday"/>
    <s v="1 to 2 hours"/>
    <n v="4"/>
  </r>
  <r>
    <s v="Call_7451"/>
    <s v="C0009"/>
    <n v="62"/>
    <s v="R04"/>
    <d v="2023-03-06T00:00:00"/>
    <n v="32"/>
    <n v="0.7"/>
    <n v="2023"/>
    <s v="Monday"/>
    <s v="1 to 2 hours"/>
    <n v="1"/>
  </r>
  <r>
    <s v="Call_7452"/>
    <s v="C0011"/>
    <n v="115"/>
    <s v="R02"/>
    <d v="2023-03-07T00:00:00"/>
    <n v="48"/>
    <n v="4.7"/>
    <n v="2023"/>
    <s v="Tuesday"/>
    <s v="1 to 2 hours"/>
    <n v="5"/>
  </r>
  <r>
    <s v="Call_7453"/>
    <s v="C0007"/>
    <n v="69"/>
    <s v="R02"/>
    <d v="2023-03-07T00:00:00"/>
    <n v="132"/>
    <n v="4.5"/>
    <n v="2023"/>
    <s v="Tuesday"/>
    <s v="1 to 2 hours"/>
    <n v="5"/>
  </r>
  <r>
    <s v="Call_7454"/>
    <s v="C0002"/>
    <n v="103"/>
    <s v="R05"/>
    <d v="2023-03-07T00:00:00"/>
    <n v="172"/>
    <n v="4.3"/>
    <n v="2023"/>
    <s v="Tuesday"/>
    <s v="1 to 2 hours"/>
    <n v="4"/>
  </r>
  <r>
    <s v="Call_7455"/>
    <s v="C0002"/>
    <n v="75"/>
    <s v="R05"/>
    <d v="2023-03-07T00:00:00"/>
    <n v="111"/>
    <n v="3.4"/>
    <n v="2023"/>
    <s v="Tuesday"/>
    <s v="1 to 2 hours"/>
    <n v="3"/>
  </r>
  <r>
    <s v="Call_7456"/>
    <s v="C0013"/>
    <n v="92"/>
    <s v="R05"/>
    <d v="2023-03-07T00:00:00"/>
    <n v="58"/>
    <n v="3.6"/>
    <n v="2023"/>
    <s v="Tuesday"/>
    <s v="1 to 2 hours"/>
    <n v="4"/>
  </r>
  <r>
    <s v="Call_7457"/>
    <s v="C0013"/>
    <n v="41"/>
    <s v="R04"/>
    <d v="2023-03-07T00:00:00"/>
    <n v="68"/>
    <n v="4"/>
    <n v="2023"/>
    <s v="Tuesday"/>
    <s v="30 to 60 mins"/>
    <n v="4"/>
  </r>
  <r>
    <s v="Call_7458"/>
    <s v="C0002"/>
    <n v="134"/>
    <s v="R01"/>
    <d v="2023-03-07T00:00:00"/>
    <n v="160"/>
    <n v="4.5"/>
    <n v="2023"/>
    <s v="Tuesday"/>
    <s v="More than 2 hours"/>
    <n v="5"/>
  </r>
  <r>
    <s v="Call_7459"/>
    <s v="C0001"/>
    <n v="80"/>
    <s v="R03"/>
    <d v="2023-03-07T00:00:00"/>
    <n v="45"/>
    <n v="3"/>
    <n v="2023"/>
    <s v="Tuesday"/>
    <s v="1 to 2 hours"/>
    <n v="3"/>
  </r>
  <r>
    <s v="Call_7460"/>
    <s v="C0008"/>
    <n v="103"/>
    <s v="R02"/>
    <d v="2023-03-08T00:00:00"/>
    <n v="117"/>
    <n v="3"/>
    <n v="2023"/>
    <s v="Wednesday"/>
    <s v="1 to 2 hours"/>
    <n v="3"/>
  </r>
  <r>
    <s v="Call_7461"/>
    <s v="C0006"/>
    <n v="20"/>
    <s v="R05"/>
    <d v="2023-03-09T00:00:00"/>
    <n v="22"/>
    <n v="1.6"/>
    <n v="2023"/>
    <s v="Thursday"/>
    <s v="10 to 30 mins"/>
    <n v="2"/>
  </r>
  <r>
    <s v="Call_7462"/>
    <s v="C0008"/>
    <n v="75"/>
    <s v="R03"/>
    <d v="2023-03-09T00:00:00"/>
    <n v="195"/>
    <n v="3"/>
    <n v="2023"/>
    <s v="Thursday"/>
    <s v="1 to 2 hours"/>
    <n v="3"/>
  </r>
  <r>
    <s v="Call_7463"/>
    <s v="C0013"/>
    <n v="80"/>
    <s v="R01"/>
    <d v="2023-03-09T00:00:00"/>
    <n v="168"/>
    <n v="3.7"/>
    <n v="2023"/>
    <s v="Thursday"/>
    <s v="1 to 2 hours"/>
    <n v="4"/>
  </r>
  <r>
    <s v="Call_7464"/>
    <s v="C0007"/>
    <n v="85"/>
    <s v="R04"/>
    <d v="2023-03-10T00:00:00"/>
    <n v="46"/>
    <n v="4.9000000000000004"/>
    <n v="2023"/>
    <s v="Friday"/>
    <s v="1 to 2 hours"/>
    <n v="5"/>
  </r>
  <r>
    <s v="Call_7465"/>
    <s v="C0004"/>
    <n v="155"/>
    <s v="R05"/>
    <d v="2023-03-10T00:00:00"/>
    <n v="164"/>
    <n v="3.4"/>
    <n v="2023"/>
    <s v="Friday"/>
    <s v="More than 2 hours"/>
    <n v="3"/>
  </r>
  <r>
    <s v="Call_7466"/>
    <s v="C0007"/>
    <n v="63"/>
    <s v="R04"/>
    <d v="2023-03-10T00:00:00"/>
    <n v="48"/>
    <n v="5"/>
    <n v="2023"/>
    <s v="Friday"/>
    <s v="1 to 2 hours"/>
    <n v="5"/>
  </r>
  <r>
    <s v="Call_7467"/>
    <s v="C0005"/>
    <n v="105"/>
    <s v="R02"/>
    <d v="2023-03-10T00:00:00"/>
    <n v="96"/>
    <n v="5"/>
    <n v="2023"/>
    <s v="Friday"/>
    <s v="1 to 2 hours"/>
    <n v="5"/>
  </r>
  <r>
    <s v="Call_7468"/>
    <s v="C0007"/>
    <n v="71"/>
    <s v="R04"/>
    <d v="2023-03-10T00:00:00"/>
    <n v="105"/>
    <n v="4"/>
    <n v="2023"/>
    <s v="Friday"/>
    <s v="1 to 2 hours"/>
    <n v="4"/>
  </r>
  <r>
    <s v="Call_7469"/>
    <s v="C0004"/>
    <n v="100"/>
    <s v="R04"/>
    <d v="2023-03-11T00:00:00"/>
    <n v="44"/>
    <n v="3.6"/>
    <n v="2023"/>
    <s v="Saturday"/>
    <s v="1 to 2 hours"/>
    <n v="4"/>
  </r>
  <r>
    <s v="Call_7470"/>
    <s v="C0003"/>
    <n v="93"/>
    <s v="R01"/>
    <d v="2023-03-11T00:00:00"/>
    <n v="132"/>
    <n v="3.7"/>
    <n v="2023"/>
    <s v="Saturday"/>
    <s v="1 to 2 hours"/>
    <n v="4"/>
  </r>
  <r>
    <s v="Call_7471"/>
    <s v="C0005"/>
    <n v="84"/>
    <s v="R05"/>
    <d v="2023-03-11T00:00:00"/>
    <n v="54"/>
    <n v="4.2"/>
    <n v="2023"/>
    <s v="Saturday"/>
    <s v="1 to 2 hours"/>
    <n v="4"/>
  </r>
  <r>
    <s v="Call_7472"/>
    <s v="C0001"/>
    <n v="56"/>
    <s v="R03"/>
    <d v="2023-03-11T00:00:00"/>
    <n v="129"/>
    <n v="2.1"/>
    <n v="2023"/>
    <s v="Saturday"/>
    <s v="30 to 60 mins"/>
    <n v="2"/>
  </r>
  <r>
    <s v="Call_7473"/>
    <s v="C0001"/>
    <n v="63"/>
    <s v="R04"/>
    <d v="2023-03-11T00:00:00"/>
    <n v="42"/>
    <n v="4"/>
    <n v="2023"/>
    <s v="Saturday"/>
    <s v="1 to 2 hours"/>
    <n v="4"/>
  </r>
  <r>
    <s v="Call_7474"/>
    <s v="C0009"/>
    <n v="83"/>
    <s v="R04"/>
    <d v="2023-03-11T00:00:00"/>
    <n v="42"/>
    <n v="4.2"/>
    <n v="2023"/>
    <s v="Saturday"/>
    <s v="1 to 2 hours"/>
    <n v="4"/>
  </r>
  <r>
    <s v="Call_7475"/>
    <s v="C0013"/>
    <n v="134"/>
    <s v="R05"/>
    <d v="2023-03-11T00:00:00"/>
    <n v="180"/>
    <n v="3.1"/>
    <n v="2023"/>
    <s v="Saturday"/>
    <s v="More than 2 hours"/>
    <n v="3"/>
  </r>
  <r>
    <s v="Call_7476"/>
    <s v="C0011"/>
    <n v="73"/>
    <s v="R04"/>
    <d v="2023-03-12T00:00:00"/>
    <n v="34"/>
    <n v="4.8"/>
    <n v="2023"/>
    <s v="Sunday"/>
    <s v="1 to 2 hours"/>
    <n v="5"/>
  </r>
  <r>
    <s v="Call_7477"/>
    <s v="C0008"/>
    <n v="6"/>
    <s v="R03"/>
    <d v="2023-03-12T00:00:00"/>
    <n v="29"/>
    <n v="4.7"/>
    <n v="2023"/>
    <s v="Sunday"/>
    <s v="Under 10 mins"/>
    <n v="5"/>
  </r>
  <r>
    <s v="Call_7478"/>
    <s v="C0012"/>
    <n v="46"/>
    <s v="R02"/>
    <d v="2023-03-12T00:00:00"/>
    <n v="165"/>
    <n v="3.3"/>
    <n v="2023"/>
    <s v="Sunday"/>
    <s v="30 to 60 mins"/>
    <n v="3"/>
  </r>
  <r>
    <s v="Call_7479"/>
    <s v="C0008"/>
    <n v="121"/>
    <s v="R04"/>
    <d v="2023-03-13T00:00:00"/>
    <n v="32"/>
    <n v="3.7"/>
    <n v="2023"/>
    <s v="Monday"/>
    <s v="More than 2 hours"/>
    <n v="4"/>
  </r>
  <r>
    <s v="Call_7480"/>
    <s v="C0001"/>
    <n v="61"/>
    <s v="R01"/>
    <d v="2023-03-13T00:00:00"/>
    <n v="160"/>
    <n v="4.9000000000000004"/>
    <n v="2023"/>
    <s v="Monday"/>
    <s v="1 to 2 hours"/>
    <n v="5"/>
  </r>
  <r>
    <s v="Call_7481"/>
    <s v="C0013"/>
    <n v="144"/>
    <s v="R05"/>
    <d v="2023-03-13T00:00:00"/>
    <n v="140"/>
    <n v="3.5"/>
    <n v="2023"/>
    <s v="Monday"/>
    <s v="More than 2 hours"/>
    <n v="4"/>
  </r>
  <r>
    <s v="Call_7482"/>
    <s v="C0012"/>
    <n v="145"/>
    <s v="R05"/>
    <d v="2023-03-13T00:00:00"/>
    <n v="136"/>
    <n v="4.4000000000000004"/>
    <n v="2023"/>
    <s v="Monday"/>
    <s v="More than 2 hours"/>
    <n v="4"/>
  </r>
  <r>
    <s v="Call_7483"/>
    <s v="C0005"/>
    <n v="85"/>
    <s v="R03"/>
    <d v="2023-03-13T00:00:00"/>
    <n v="66"/>
    <n v="2.8"/>
    <n v="2023"/>
    <s v="Monday"/>
    <s v="1 to 2 hours"/>
    <n v="3"/>
  </r>
  <r>
    <s v="Call_7484"/>
    <s v="C0012"/>
    <n v="13"/>
    <s v="R01"/>
    <d v="2023-03-14T00:00:00"/>
    <n v="63"/>
    <n v="4.0999999999999996"/>
    <n v="2023"/>
    <s v="Tuesday"/>
    <s v="10 to 30 mins"/>
    <n v="4"/>
  </r>
  <r>
    <s v="Call_7485"/>
    <s v="C0003"/>
    <n v="142"/>
    <s v="R04"/>
    <d v="2023-03-14T00:00:00"/>
    <n v="44"/>
    <n v="3.5"/>
    <n v="2023"/>
    <s v="Tuesday"/>
    <s v="More than 2 hours"/>
    <n v="4"/>
  </r>
  <r>
    <s v="Call_7486"/>
    <s v="C0013"/>
    <n v="28"/>
    <s v="R02"/>
    <d v="2023-03-14T00:00:00"/>
    <n v="78"/>
    <n v="3.8"/>
    <n v="2023"/>
    <s v="Tuesday"/>
    <s v="10 to 30 mins"/>
    <n v="4"/>
  </r>
  <r>
    <s v="Call_7487"/>
    <s v="C0013"/>
    <n v="119"/>
    <s v="R04"/>
    <d v="2023-03-14T00:00:00"/>
    <n v="20"/>
    <n v="3.9"/>
    <n v="2023"/>
    <s v="Tuesday"/>
    <s v="1 to 2 hours"/>
    <n v="4"/>
  </r>
  <r>
    <s v="Call_7488"/>
    <s v="C0008"/>
    <n v="65"/>
    <s v="R03"/>
    <d v="2023-03-14T00:00:00"/>
    <n v="84"/>
    <n v="2.5"/>
    <n v="2023"/>
    <s v="Tuesday"/>
    <s v="1 to 2 hours"/>
    <n v="3"/>
  </r>
  <r>
    <s v="Call_7489"/>
    <s v="C0002"/>
    <n v="68"/>
    <s v="R03"/>
    <d v="2023-03-14T00:00:00"/>
    <n v="32"/>
    <n v="4.9000000000000004"/>
    <n v="2023"/>
    <s v="Tuesday"/>
    <s v="1 to 2 hours"/>
    <n v="5"/>
  </r>
  <r>
    <s v="Call_7490"/>
    <s v="C0009"/>
    <n v="72"/>
    <s v="R02"/>
    <d v="2023-03-14T00:00:00"/>
    <n v="132"/>
    <n v="3.4"/>
    <n v="2023"/>
    <s v="Tuesday"/>
    <s v="1 to 2 hours"/>
    <n v="3"/>
  </r>
  <r>
    <s v="Call_7491"/>
    <s v="C0009"/>
    <n v="63"/>
    <s v="R05"/>
    <d v="2023-03-14T00:00:00"/>
    <n v="105"/>
    <n v="3.3"/>
    <n v="2023"/>
    <s v="Tuesday"/>
    <s v="1 to 2 hours"/>
    <n v="3"/>
  </r>
  <r>
    <s v="Call_7492"/>
    <s v="C0004"/>
    <n v="139"/>
    <s v="R04"/>
    <d v="2023-03-15T00:00:00"/>
    <n v="48"/>
    <n v="4.7"/>
    <n v="2023"/>
    <s v="Wednesday"/>
    <s v="More than 2 hours"/>
    <n v="5"/>
  </r>
  <r>
    <s v="Call_7493"/>
    <s v="C0013"/>
    <n v="59"/>
    <s v="R04"/>
    <d v="2023-03-15T00:00:00"/>
    <n v="64"/>
    <n v="4"/>
    <n v="2023"/>
    <s v="Wednesday"/>
    <s v="30 to 60 mins"/>
    <n v="4"/>
  </r>
  <r>
    <s v="Call_7494"/>
    <s v="C0006"/>
    <n v="138"/>
    <s v="R05"/>
    <d v="2023-03-15T00:00:00"/>
    <n v="44"/>
    <n v="3.8"/>
    <n v="2023"/>
    <s v="Wednesday"/>
    <s v="More than 2 hours"/>
    <n v="4"/>
  </r>
  <r>
    <s v="Call_7495"/>
    <s v="C0004"/>
    <n v="47"/>
    <s v="R02"/>
    <d v="2023-03-15T00:00:00"/>
    <n v="120"/>
    <n v="3.1"/>
    <n v="2023"/>
    <s v="Wednesday"/>
    <s v="30 to 60 mins"/>
    <n v="3"/>
  </r>
  <r>
    <s v="Call_7496"/>
    <s v="C0006"/>
    <n v="74"/>
    <s v="R02"/>
    <d v="2023-03-15T00:00:00"/>
    <n v="144"/>
    <n v="4.8"/>
    <n v="2023"/>
    <s v="Wednesday"/>
    <s v="1 to 2 hours"/>
    <n v="5"/>
  </r>
  <r>
    <s v="Call_7497"/>
    <s v="C0009"/>
    <n v="65"/>
    <s v="R02"/>
    <d v="2023-03-15T00:00:00"/>
    <n v="87"/>
    <n v="2.7"/>
    <n v="2023"/>
    <s v="Wednesday"/>
    <s v="1 to 2 hours"/>
    <n v="3"/>
  </r>
  <r>
    <s v="Call_7498"/>
    <s v="C0011"/>
    <n v="123"/>
    <s v="R03"/>
    <d v="2023-03-15T00:00:00"/>
    <n v="36"/>
    <n v="3.6"/>
    <n v="2023"/>
    <s v="Wednesday"/>
    <s v="More than 2 hours"/>
    <n v="4"/>
  </r>
  <r>
    <s v="Call_7499"/>
    <s v="C0009"/>
    <n v="90"/>
    <s v="R04"/>
    <d v="2023-03-16T00:00:00"/>
    <n v="72"/>
    <n v="4.7"/>
    <n v="2023"/>
    <s v="Thursday"/>
    <s v="1 to 2 hours"/>
    <n v="5"/>
  </r>
  <r>
    <s v="Call_7500"/>
    <s v="C0001"/>
    <n v="127"/>
    <s v="R05"/>
    <d v="2023-03-16T00:00:00"/>
    <n v="150"/>
    <n v="4.4000000000000004"/>
    <n v="2023"/>
    <s v="Thursday"/>
    <s v="More than 2 hours"/>
    <n v="4"/>
  </r>
  <r>
    <s v="Call_7501"/>
    <s v="C0014"/>
    <n v="60"/>
    <s v="R02"/>
    <d v="2023-03-16T00:00:00"/>
    <n v="68"/>
    <n v="4.3"/>
    <n v="2023"/>
    <s v="Thursday"/>
    <s v="30 to 60 mins"/>
    <n v="4"/>
  </r>
  <r>
    <s v="Call_7502"/>
    <s v="C0004"/>
    <n v="94"/>
    <s v="R05"/>
    <d v="2023-03-16T00:00:00"/>
    <n v="99"/>
    <n v="4.9000000000000004"/>
    <n v="2023"/>
    <s v="Thursday"/>
    <s v="1 to 2 hours"/>
    <n v="5"/>
  </r>
  <r>
    <s v="Call_7503"/>
    <s v="C0011"/>
    <n v="54"/>
    <s v="R02"/>
    <d v="2023-03-16T00:00:00"/>
    <n v="26"/>
    <n v="4.8"/>
    <n v="2023"/>
    <s v="Thursday"/>
    <s v="30 to 60 mins"/>
    <n v="5"/>
  </r>
  <r>
    <s v="Call_7504"/>
    <s v="C0009"/>
    <n v="104"/>
    <s v="R02"/>
    <d v="2023-03-16T00:00:00"/>
    <n v="88"/>
    <n v="3.2"/>
    <n v="2023"/>
    <s v="Thursday"/>
    <s v="1 to 2 hours"/>
    <n v="3"/>
  </r>
  <r>
    <s v="Call_7505"/>
    <s v="C0007"/>
    <n v="100"/>
    <s v="R02"/>
    <d v="2023-03-16T00:00:00"/>
    <n v="124"/>
    <n v="3.4"/>
    <n v="2023"/>
    <s v="Thursday"/>
    <s v="1 to 2 hours"/>
    <n v="3"/>
  </r>
  <r>
    <s v="Call_7506"/>
    <s v="C0006"/>
    <n v="84"/>
    <s v="R02"/>
    <d v="2023-03-16T00:00:00"/>
    <n v="72"/>
    <n v="3.5"/>
    <n v="2023"/>
    <s v="Thursday"/>
    <s v="1 to 2 hours"/>
    <n v="4"/>
  </r>
  <r>
    <s v="Call_7507"/>
    <s v="C0003"/>
    <n v="92"/>
    <s v="R01"/>
    <d v="2023-03-17T00:00:00"/>
    <n v="125"/>
    <n v="4.9000000000000004"/>
    <n v="2023"/>
    <s v="Friday"/>
    <s v="1 to 2 hours"/>
    <n v="5"/>
  </r>
  <r>
    <s v="Call_7508"/>
    <s v="C0010"/>
    <n v="64"/>
    <s v="R05"/>
    <d v="2023-03-17T00:00:00"/>
    <n v="22"/>
    <n v="4.0999999999999996"/>
    <n v="2023"/>
    <s v="Friday"/>
    <s v="1 to 2 hours"/>
    <n v="4"/>
  </r>
  <r>
    <s v="Call_7509"/>
    <s v="C0005"/>
    <n v="89"/>
    <s v="R04"/>
    <d v="2023-03-18T00:00:00"/>
    <n v="70"/>
    <n v="4.9000000000000004"/>
    <n v="2023"/>
    <s v="Saturday"/>
    <s v="1 to 2 hours"/>
    <n v="5"/>
  </r>
  <r>
    <s v="Call_7510"/>
    <s v="C0015"/>
    <n v="40"/>
    <s v="R02"/>
    <d v="2023-03-18T00:00:00"/>
    <n v="24"/>
    <n v="4.3"/>
    <n v="2023"/>
    <s v="Saturday"/>
    <s v="30 to 60 mins"/>
    <n v="4"/>
  </r>
  <r>
    <s v="Call_7511"/>
    <s v="C0013"/>
    <n v="75"/>
    <s v="R03"/>
    <d v="2023-03-18T00:00:00"/>
    <n v="32"/>
    <n v="4.0999999999999996"/>
    <n v="2023"/>
    <s v="Saturday"/>
    <s v="1 to 2 hours"/>
    <n v="4"/>
  </r>
  <r>
    <s v="Call_7512"/>
    <s v="C0001"/>
    <n v="106"/>
    <s v="R01"/>
    <d v="2023-03-18T00:00:00"/>
    <n v="112"/>
    <n v="4.4000000000000004"/>
    <n v="2023"/>
    <s v="Saturday"/>
    <s v="1 to 2 hours"/>
    <n v="4"/>
  </r>
  <r>
    <s v="Call_7513"/>
    <s v="C0010"/>
    <n v="58"/>
    <s v="R02"/>
    <d v="2023-03-19T00:00:00"/>
    <n v="43"/>
    <n v="4.5"/>
    <n v="2023"/>
    <s v="Sunday"/>
    <s v="30 to 60 mins"/>
    <n v="5"/>
  </r>
  <r>
    <s v="Call_7514"/>
    <s v="C0006"/>
    <n v="84"/>
    <s v="R01"/>
    <d v="2023-03-19T00:00:00"/>
    <n v="22"/>
    <n v="3.5"/>
    <n v="2023"/>
    <s v="Sunday"/>
    <s v="1 to 2 hours"/>
    <n v="4"/>
  </r>
  <r>
    <s v="Call_7515"/>
    <s v="C0009"/>
    <n v="140"/>
    <s v="R01"/>
    <d v="2023-03-19T00:00:00"/>
    <n v="93"/>
    <n v="4.4000000000000004"/>
    <n v="2023"/>
    <s v="Sunday"/>
    <s v="More than 2 hours"/>
    <n v="4"/>
  </r>
  <r>
    <s v="Call_7516"/>
    <s v="C0010"/>
    <n v="67"/>
    <s v="R01"/>
    <d v="2023-03-19T00:00:00"/>
    <n v="45"/>
    <n v="3.5"/>
    <n v="2023"/>
    <s v="Sunday"/>
    <s v="1 to 2 hours"/>
    <n v="4"/>
  </r>
  <r>
    <s v="Call_7517"/>
    <s v="C0004"/>
    <n v="126"/>
    <s v="R01"/>
    <d v="2023-03-20T00:00:00"/>
    <n v="96"/>
    <n v="3.8"/>
    <n v="2023"/>
    <s v="Monday"/>
    <s v="More than 2 hours"/>
    <n v="4"/>
  </r>
  <r>
    <s v="Call_7518"/>
    <s v="C0004"/>
    <n v="89"/>
    <s v="R02"/>
    <d v="2023-03-20T00:00:00"/>
    <n v="96"/>
    <n v="3.3"/>
    <n v="2023"/>
    <s v="Monday"/>
    <s v="1 to 2 hours"/>
    <n v="3"/>
  </r>
  <r>
    <s v="Call_7519"/>
    <s v="C0005"/>
    <n v="56"/>
    <s v="R05"/>
    <d v="2023-03-20T00:00:00"/>
    <n v="31"/>
    <n v="4.4000000000000004"/>
    <n v="2023"/>
    <s v="Monday"/>
    <s v="30 to 60 mins"/>
    <n v="4"/>
  </r>
  <r>
    <s v="Call_7520"/>
    <s v="C0011"/>
    <n v="48"/>
    <s v="R02"/>
    <d v="2023-03-20T00:00:00"/>
    <n v="200"/>
    <n v="3.9"/>
    <n v="2023"/>
    <s v="Monday"/>
    <s v="30 to 60 mins"/>
    <n v="4"/>
  </r>
  <r>
    <s v="Call_7521"/>
    <s v="C0004"/>
    <n v="55"/>
    <s v="R05"/>
    <d v="2023-03-20T00:00:00"/>
    <n v="99"/>
    <n v="2.7"/>
    <n v="2023"/>
    <s v="Monday"/>
    <s v="30 to 60 mins"/>
    <n v="3"/>
  </r>
  <r>
    <s v="Call_7522"/>
    <s v="C0014"/>
    <n v="88"/>
    <s v="R03"/>
    <d v="2023-03-20T00:00:00"/>
    <n v="144"/>
    <n v="2.9"/>
    <n v="2023"/>
    <s v="Monday"/>
    <s v="1 to 2 hours"/>
    <n v="3"/>
  </r>
  <r>
    <s v="Call_7523"/>
    <s v="C0005"/>
    <n v="102"/>
    <s v="R01"/>
    <d v="2023-03-21T00:00:00"/>
    <n v="81"/>
    <n v="4"/>
    <n v="2023"/>
    <s v="Tuesday"/>
    <s v="1 to 2 hours"/>
    <n v="4"/>
  </r>
  <r>
    <s v="Call_7524"/>
    <s v="C0014"/>
    <n v="155"/>
    <s v="R03"/>
    <d v="2023-03-21T00:00:00"/>
    <n v="70"/>
    <n v="4.4000000000000004"/>
    <n v="2023"/>
    <s v="Tuesday"/>
    <s v="More than 2 hours"/>
    <n v="4"/>
  </r>
  <r>
    <s v="Call_7525"/>
    <s v="C0004"/>
    <n v="63"/>
    <s v="R03"/>
    <d v="2023-03-21T00:00:00"/>
    <n v="148"/>
    <n v="5"/>
    <n v="2023"/>
    <s v="Tuesday"/>
    <s v="1 to 2 hours"/>
    <n v="5"/>
  </r>
  <r>
    <s v="Call_7526"/>
    <s v="C0007"/>
    <n v="59"/>
    <s v="R01"/>
    <d v="2023-03-21T00:00:00"/>
    <n v="215"/>
    <n v="4.0999999999999996"/>
    <n v="2023"/>
    <s v="Tuesday"/>
    <s v="30 to 60 mins"/>
    <n v="4"/>
  </r>
  <r>
    <s v="Call_7527"/>
    <s v="C0007"/>
    <n v="144"/>
    <s v="R02"/>
    <d v="2023-03-21T00:00:00"/>
    <n v="124"/>
    <n v="4.4000000000000004"/>
    <n v="2023"/>
    <s v="Tuesday"/>
    <s v="More than 2 hours"/>
    <n v="4"/>
  </r>
  <r>
    <s v="Call_7528"/>
    <s v="C0006"/>
    <n v="113"/>
    <s v="R04"/>
    <d v="2023-03-21T00:00:00"/>
    <n v="168"/>
    <n v="4.0999999999999996"/>
    <n v="2023"/>
    <s v="Tuesday"/>
    <s v="1 to 2 hours"/>
    <n v="4"/>
  </r>
  <r>
    <s v="Call_7529"/>
    <s v="C0012"/>
    <n v="154"/>
    <s v="R05"/>
    <d v="2023-03-21T00:00:00"/>
    <n v="90"/>
    <n v="4.5"/>
    <n v="2023"/>
    <s v="Tuesday"/>
    <s v="More than 2 hours"/>
    <n v="5"/>
  </r>
  <r>
    <s v="Call_7530"/>
    <s v="C0012"/>
    <n v="58"/>
    <s v="R01"/>
    <d v="2023-03-22T00:00:00"/>
    <n v="176"/>
    <n v="4.2"/>
    <n v="2023"/>
    <s v="Wednesday"/>
    <s v="30 to 60 mins"/>
    <n v="4"/>
  </r>
  <r>
    <s v="Call_7531"/>
    <s v="C0011"/>
    <n v="63"/>
    <s v="R03"/>
    <d v="2023-03-22T00:00:00"/>
    <n v="87"/>
    <n v="4.5999999999999996"/>
    <n v="2023"/>
    <s v="Wednesday"/>
    <s v="1 to 2 hours"/>
    <n v="5"/>
  </r>
  <r>
    <s v="Call_7532"/>
    <s v="C0009"/>
    <n v="59"/>
    <s v="R02"/>
    <d v="2023-03-22T00:00:00"/>
    <n v="128"/>
    <n v="4.5"/>
    <n v="2023"/>
    <s v="Wednesday"/>
    <s v="30 to 60 mins"/>
    <n v="5"/>
  </r>
  <r>
    <s v="Call_7533"/>
    <s v="C0008"/>
    <n v="129"/>
    <s v="R03"/>
    <d v="2023-03-22T00:00:00"/>
    <n v="120"/>
    <n v="4.0999999999999996"/>
    <n v="2023"/>
    <s v="Wednesday"/>
    <s v="More than 2 hours"/>
    <n v="4"/>
  </r>
  <r>
    <s v="Call_7534"/>
    <s v="C0002"/>
    <n v="101"/>
    <s v="R04"/>
    <d v="2023-03-22T00:00:00"/>
    <n v="130"/>
    <n v="4.8"/>
    <n v="2023"/>
    <s v="Wednesday"/>
    <s v="1 to 2 hours"/>
    <n v="5"/>
  </r>
  <r>
    <s v="Call_7535"/>
    <s v="C0015"/>
    <n v="154"/>
    <s v="R02"/>
    <d v="2023-03-22T00:00:00"/>
    <n v="172"/>
    <n v="3.1"/>
    <n v="2023"/>
    <s v="Wednesday"/>
    <s v="More than 2 hours"/>
    <n v="3"/>
  </r>
  <r>
    <s v="Call_7536"/>
    <s v="C0010"/>
    <n v="131"/>
    <s v="R02"/>
    <d v="2023-03-22T00:00:00"/>
    <n v="58"/>
    <n v="4.9000000000000004"/>
    <n v="2023"/>
    <s v="Wednesday"/>
    <s v="More than 2 hours"/>
    <n v="5"/>
  </r>
  <r>
    <s v="Call_7537"/>
    <s v="C0007"/>
    <n v="111"/>
    <s v="R04"/>
    <d v="2023-03-23T00:00:00"/>
    <n v="86"/>
    <n v="4.0999999999999996"/>
    <n v="2023"/>
    <s v="Thursday"/>
    <s v="1 to 2 hours"/>
    <n v="4"/>
  </r>
  <r>
    <s v="Call_7538"/>
    <s v="C0012"/>
    <n v="142"/>
    <s v="R04"/>
    <d v="2023-03-24T00:00:00"/>
    <n v="31"/>
    <n v="4.4000000000000004"/>
    <n v="2023"/>
    <s v="Friday"/>
    <s v="More than 2 hours"/>
    <n v="4"/>
  </r>
  <r>
    <s v="Call_7539"/>
    <s v="C0005"/>
    <n v="93"/>
    <s v="R03"/>
    <d v="2023-03-24T00:00:00"/>
    <n v="72"/>
    <n v="4.4000000000000004"/>
    <n v="2023"/>
    <s v="Friday"/>
    <s v="1 to 2 hours"/>
    <n v="4"/>
  </r>
  <r>
    <s v="Call_7540"/>
    <s v="C0012"/>
    <n v="125"/>
    <s v="R05"/>
    <d v="2023-03-25T00:00:00"/>
    <n v="27"/>
    <n v="3"/>
    <n v="2023"/>
    <s v="Saturday"/>
    <s v="More than 2 hours"/>
    <n v="3"/>
  </r>
  <r>
    <s v="Call_7541"/>
    <s v="C0008"/>
    <n v="76"/>
    <s v="R02"/>
    <d v="2023-03-25T00:00:00"/>
    <n v="110"/>
    <n v="4.4000000000000004"/>
    <n v="2023"/>
    <s v="Saturday"/>
    <s v="1 to 2 hours"/>
    <n v="4"/>
  </r>
  <r>
    <s v="Call_7542"/>
    <s v="C0006"/>
    <n v="69"/>
    <s v="R03"/>
    <d v="2023-03-25T00:00:00"/>
    <n v="126"/>
    <n v="3.7"/>
    <n v="2023"/>
    <s v="Saturday"/>
    <s v="1 to 2 hours"/>
    <n v="4"/>
  </r>
  <r>
    <s v="Call_7543"/>
    <s v="C0009"/>
    <n v="149"/>
    <s v="R05"/>
    <d v="2023-03-25T00:00:00"/>
    <n v="60"/>
    <n v="3.9"/>
    <n v="2023"/>
    <s v="Saturday"/>
    <s v="More than 2 hours"/>
    <n v="4"/>
  </r>
  <r>
    <s v="Call_7544"/>
    <s v="C0012"/>
    <n v="57"/>
    <s v="R03"/>
    <d v="2023-03-25T00:00:00"/>
    <n v="35"/>
    <n v="3.5"/>
    <n v="2023"/>
    <s v="Saturday"/>
    <s v="30 to 60 mins"/>
    <n v="4"/>
  </r>
  <r>
    <s v="Call_7545"/>
    <s v="C0004"/>
    <n v="113"/>
    <s v="R02"/>
    <d v="2023-03-25T00:00:00"/>
    <n v="81"/>
    <n v="3.5"/>
    <n v="2023"/>
    <s v="Saturday"/>
    <s v="1 to 2 hours"/>
    <n v="4"/>
  </r>
  <r>
    <s v="Call_7546"/>
    <s v="C0003"/>
    <n v="160"/>
    <s v="R05"/>
    <d v="2023-03-25T00:00:00"/>
    <n v="116"/>
    <n v="3.4"/>
    <n v="2023"/>
    <s v="Saturday"/>
    <s v="More than 2 hours"/>
    <n v="3"/>
  </r>
  <r>
    <s v="Call_7547"/>
    <s v="C0011"/>
    <n v="158"/>
    <s v="R01"/>
    <d v="2023-03-25T00:00:00"/>
    <n v="60"/>
    <n v="4.5"/>
    <n v="2023"/>
    <s v="Saturday"/>
    <s v="More than 2 hours"/>
    <n v="5"/>
  </r>
  <r>
    <s v="Call_7548"/>
    <s v="C0006"/>
    <n v="77"/>
    <s v="R05"/>
    <d v="2023-03-26T00:00:00"/>
    <n v="130"/>
    <n v="4.2"/>
    <n v="2023"/>
    <s v="Sunday"/>
    <s v="1 to 2 hours"/>
    <n v="4"/>
  </r>
  <r>
    <s v="Call_7549"/>
    <s v="C0013"/>
    <n v="118"/>
    <s v="R04"/>
    <d v="2023-03-26T00:00:00"/>
    <n v="99"/>
    <n v="5"/>
    <n v="2023"/>
    <s v="Sunday"/>
    <s v="1 to 2 hours"/>
    <n v="5"/>
  </r>
  <r>
    <s v="Call_7550"/>
    <s v="C0015"/>
    <n v="75"/>
    <s v="R02"/>
    <d v="2023-03-26T00:00:00"/>
    <n v="135"/>
    <n v="4.7"/>
    <n v="2023"/>
    <s v="Sunday"/>
    <s v="1 to 2 hours"/>
    <n v="5"/>
  </r>
  <r>
    <s v="Call_7551"/>
    <s v="C0004"/>
    <n v="103"/>
    <s v="R05"/>
    <d v="2023-03-26T00:00:00"/>
    <n v="42"/>
    <n v="2.8"/>
    <n v="2023"/>
    <s v="Sunday"/>
    <s v="1 to 2 hours"/>
    <n v="3"/>
  </r>
  <r>
    <s v="Call_7552"/>
    <s v="C0006"/>
    <n v="116"/>
    <s v="R04"/>
    <d v="2023-03-27T00:00:00"/>
    <n v="63"/>
    <n v="3.4"/>
    <n v="2023"/>
    <s v="Monday"/>
    <s v="1 to 2 hours"/>
    <n v="3"/>
  </r>
  <r>
    <s v="Call_7553"/>
    <s v="C0007"/>
    <n v="61"/>
    <s v="R01"/>
    <d v="2023-03-27T00:00:00"/>
    <n v="140"/>
    <n v="1.8"/>
    <n v="2023"/>
    <s v="Monday"/>
    <s v="1 to 2 hours"/>
    <n v="2"/>
  </r>
  <r>
    <s v="Call_7554"/>
    <s v="C0012"/>
    <n v="126"/>
    <s v="R02"/>
    <d v="2023-03-27T00:00:00"/>
    <n v="128"/>
    <n v="4.2"/>
    <n v="2023"/>
    <s v="Monday"/>
    <s v="More than 2 hours"/>
    <n v="4"/>
  </r>
  <r>
    <s v="Call_7555"/>
    <s v="C0002"/>
    <n v="141"/>
    <s v="R03"/>
    <d v="2023-03-27T00:00:00"/>
    <n v="80"/>
    <n v="4.4000000000000004"/>
    <n v="2023"/>
    <s v="Monday"/>
    <s v="More than 2 hours"/>
    <n v="4"/>
  </r>
  <r>
    <s v="Call_7556"/>
    <s v="C0011"/>
    <n v="95"/>
    <s v="R04"/>
    <d v="2023-03-27T00:00:00"/>
    <n v="28"/>
    <n v="2.7"/>
    <n v="2023"/>
    <s v="Monday"/>
    <s v="1 to 2 hours"/>
    <n v="3"/>
  </r>
  <r>
    <s v="Call_7557"/>
    <s v="C0015"/>
    <n v="39"/>
    <s v="R01"/>
    <d v="2023-03-28T00:00:00"/>
    <n v="81"/>
    <n v="5"/>
    <n v="2023"/>
    <s v="Tuesday"/>
    <s v="30 to 60 mins"/>
    <n v="5"/>
  </r>
  <r>
    <s v="Call_7558"/>
    <s v="C0004"/>
    <n v="127"/>
    <s v="R02"/>
    <d v="2023-03-28T00:00:00"/>
    <n v="99"/>
    <n v="3.9"/>
    <n v="2023"/>
    <s v="Tuesday"/>
    <s v="More than 2 hours"/>
    <n v="4"/>
  </r>
  <r>
    <s v="Call_7559"/>
    <s v="C0007"/>
    <n v="78"/>
    <s v="R02"/>
    <d v="2023-03-28T00:00:00"/>
    <n v="43"/>
    <n v="3.8"/>
    <n v="2023"/>
    <s v="Tuesday"/>
    <s v="1 to 2 hours"/>
    <n v="4"/>
  </r>
  <r>
    <s v="Call_7560"/>
    <s v="C0013"/>
    <n v="40"/>
    <s v="R02"/>
    <d v="2023-03-28T00:00:00"/>
    <n v="34"/>
    <n v="4.5999999999999996"/>
    <n v="2023"/>
    <s v="Tuesday"/>
    <s v="30 to 60 mins"/>
    <n v="5"/>
  </r>
  <r>
    <s v="Call_7561"/>
    <s v="C0007"/>
    <n v="56"/>
    <s v="R01"/>
    <d v="2023-03-28T00:00:00"/>
    <n v="225"/>
    <n v="4.5999999999999996"/>
    <n v="2023"/>
    <s v="Tuesday"/>
    <s v="30 to 60 mins"/>
    <n v="5"/>
  </r>
  <r>
    <s v="Call_7562"/>
    <s v="C0015"/>
    <n v="59"/>
    <s v="R03"/>
    <d v="2023-03-28T00:00:00"/>
    <n v="210"/>
    <n v="4.5"/>
    <n v="2023"/>
    <s v="Tuesday"/>
    <s v="30 to 60 mins"/>
    <n v="5"/>
  </r>
  <r>
    <s v="Call_7563"/>
    <s v="C0012"/>
    <n v="30"/>
    <s v="R02"/>
    <d v="2023-03-28T00:00:00"/>
    <n v="168"/>
    <n v="4.2"/>
    <n v="2023"/>
    <s v="Tuesday"/>
    <s v="10 to 30 mins"/>
    <n v="4"/>
  </r>
  <r>
    <s v="Call_7564"/>
    <s v="C0013"/>
    <n v="63"/>
    <s v="R05"/>
    <d v="2023-03-29T00:00:00"/>
    <n v="82"/>
    <n v="4.5"/>
    <n v="2023"/>
    <s v="Wednesday"/>
    <s v="1 to 2 hours"/>
    <n v="5"/>
  </r>
  <r>
    <s v="Call_7565"/>
    <s v="C0005"/>
    <n v="56"/>
    <s v="R04"/>
    <d v="2023-03-29T00:00:00"/>
    <n v="88"/>
    <n v="4.0999999999999996"/>
    <n v="2023"/>
    <s v="Wednesday"/>
    <s v="30 to 60 mins"/>
    <n v="4"/>
  </r>
  <r>
    <s v="Call_7566"/>
    <s v="C0008"/>
    <n v="95"/>
    <s v="R05"/>
    <d v="2023-03-29T00:00:00"/>
    <n v="111"/>
    <n v="3.3"/>
    <n v="2023"/>
    <s v="Wednesday"/>
    <s v="1 to 2 hours"/>
    <n v="3"/>
  </r>
  <r>
    <s v="Call_7567"/>
    <s v="C0001"/>
    <n v="128"/>
    <s v="R03"/>
    <d v="2023-03-29T00:00:00"/>
    <n v="60"/>
    <n v="3.8"/>
    <n v="2023"/>
    <s v="Wednesday"/>
    <s v="More than 2 hours"/>
    <n v="4"/>
  </r>
  <r>
    <s v="Call_7568"/>
    <s v="C0011"/>
    <n v="49"/>
    <s v="R05"/>
    <d v="2023-03-29T00:00:00"/>
    <n v="80"/>
    <n v="3"/>
    <n v="2023"/>
    <s v="Wednesday"/>
    <s v="30 to 60 mins"/>
    <n v="3"/>
  </r>
  <r>
    <s v="Call_7569"/>
    <s v="C0001"/>
    <n v="89"/>
    <s v="R01"/>
    <d v="2023-03-31T00:00:00"/>
    <n v="90"/>
    <n v="4.5999999999999996"/>
    <n v="2023"/>
    <s v="Friday"/>
    <s v="1 to 2 hours"/>
    <n v="5"/>
  </r>
  <r>
    <s v="Call_7570"/>
    <s v="C0009"/>
    <n v="87"/>
    <s v="R05"/>
    <d v="2023-03-31T00:00:00"/>
    <n v="225"/>
    <n v="2.9"/>
    <n v="2023"/>
    <s v="Friday"/>
    <s v="1 to 2 hours"/>
    <n v="3"/>
  </r>
  <r>
    <s v="Call_7571"/>
    <s v="C0003"/>
    <n v="60"/>
    <s v="R02"/>
    <d v="2023-04-01T00:00:00"/>
    <n v="215"/>
    <n v="3.2"/>
    <n v="2023"/>
    <s v="Saturday"/>
    <s v="30 to 60 mins"/>
    <n v="3"/>
  </r>
  <r>
    <s v="Call_7572"/>
    <s v="C0014"/>
    <n v="42"/>
    <s v="R01"/>
    <d v="2023-04-01T00:00:00"/>
    <n v="45"/>
    <n v="1.5"/>
    <n v="2023"/>
    <s v="Saturday"/>
    <s v="30 to 60 mins"/>
    <n v="2"/>
  </r>
  <r>
    <s v="Call_7573"/>
    <s v="C0010"/>
    <n v="99"/>
    <s v="R02"/>
    <d v="2023-04-01T00:00:00"/>
    <n v="74"/>
    <n v="4"/>
    <n v="2023"/>
    <s v="Saturday"/>
    <s v="1 to 2 hours"/>
    <n v="4"/>
  </r>
  <r>
    <s v="Call_7574"/>
    <s v="C0005"/>
    <n v="20"/>
    <s v="R01"/>
    <d v="2023-04-01T00:00:00"/>
    <n v="60"/>
    <n v="3.6"/>
    <n v="2023"/>
    <s v="Saturday"/>
    <s v="10 to 30 mins"/>
    <n v="4"/>
  </r>
  <r>
    <s v="Call_7575"/>
    <s v="C0013"/>
    <n v="65"/>
    <s v="R02"/>
    <d v="2023-04-01T00:00:00"/>
    <n v="64"/>
    <n v="3.7"/>
    <n v="2023"/>
    <s v="Saturday"/>
    <s v="1 to 2 hours"/>
    <n v="4"/>
  </r>
  <r>
    <s v="Call_7576"/>
    <s v="C0012"/>
    <n v="71"/>
    <s v="R05"/>
    <d v="2023-04-02T00:00:00"/>
    <n v="110"/>
    <n v="4.8"/>
    <n v="2023"/>
    <s v="Sunday"/>
    <s v="1 to 2 hours"/>
    <n v="5"/>
  </r>
  <r>
    <s v="Call_7577"/>
    <s v="C0004"/>
    <n v="95"/>
    <s v="R03"/>
    <d v="2023-04-02T00:00:00"/>
    <n v="52"/>
    <n v="1.2"/>
    <n v="2023"/>
    <s v="Sunday"/>
    <s v="1 to 2 hours"/>
    <n v="1"/>
  </r>
  <r>
    <s v="Call_7578"/>
    <s v="C0005"/>
    <n v="81"/>
    <s v="R04"/>
    <d v="2023-04-03T00:00:00"/>
    <n v="160"/>
    <n v="4.7"/>
    <n v="2023"/>
    <s v="Monday"/>
    <s v="1 to 2 hours"/>
    <n v="5"/>
  </r>
  <r>
    <s v="Call_7579"/>
    <s v="C0006"/>
    <n v="137"/>
    <s v="R04"/>
    <d v="2023-04-03T00:00:00"/>
    <n v="215"/>
    <n v="4.7"/>
    <n v="2023"/>
    <s v="Monday"/>
    <s v="More than 2 hours"/>
    <n v="5"/>
  </r>
  <r>
    <s v="Call_7580"/>
    <s v="C0006"/>
    <n v="40"/>
    <s v="R03"/>
    <d v="2023-04-03T00:00:00"/>
    <n v="220"/>
    <n v="4.5"/>
    <n v="2023"/>
    <s v="Monday"/>
    <s v="30 to 60 mins"/>
    <n v="5"/>
  </r>
  <r>
    <s v="Call_7581"/>
    <s v="C0010"/>
    <n v="111"/>
    <s v="R02"/>
    <d v="2023-04-04T00:00:00"/>
    <n v="175"/>
    <n v="3.5"/>
    <n v="2023"/>
    <s v="Tuesday"/>
    <s v="1 to 2 hours"/>
    <n v="4"/>
  </r>
  <r>
    <s v="Call_7582"/>
    <s v="C0012"/>
    <n v="106"/>
    <s v="R02"/>
    <d v="2023-04-04T00:00:00"/>
    <n v="145"/>
    <n v="4.0999999999999996"/>
    <n v="2023"/>
    <s v="Tuesday"/>
    <s v="1 to 2 hours"/>
    <n v="4"/>
  </r>
  <r>
    <s v="Call_7583"/>
    <s v="C0014"/>
    <n v="133"/>
    <s v="R01"/>
    <d v="2023-04-04T00:00:00"/>
    <n v="72"/>
    <n v="4.4000000000000004"/>
    <n v="2023"/>
    <s v="Tuesday"/>
    <s v="More than 2 hours"/>
    <n v="4"/>
  </r>
  <r>
    <s v="Call_7584"/>
    <s v="C0007"/>
    <n v="38"/>
    <s v="R02"/>
    <d v="2023-04-05T00:00:00"/>
    <n v="81"/>
    <n v="3.6"/>
    <n v="2023"/>
    <s v="Wednesday"/>
    <s v="30 to 60 mins"/>
    <n v="4"/>
  </r>
  <r>
    <s v="Call_7585"/>
    <s v="C0015"/>
    <n v="130"/>
    <s v="R03"/>
    <d v="2023-04-05T00:00:00"/>
    <n v="54"/>
    <n v="4.0999999999999996"/>
    <n v="2023"/>
    <s v="Wednesday"/>
    <s v="More than 2 hours"/>
    <n v="4"/>
  </r>
  <r>
    <s v="Call_7586"/>
    <s v="C0013"/>
    <n v="23"/>
    <s v="R01"/>
    <d v="2023-04-05T00:00:00"/>
    <n v="105"/>
    <n v="4.8"/>
    <n v="2023"/>
    <s v="Wednesday"/>
    <s v="10 to 30 mins"/>
    <n v="5"/>
  </r>
  <r>
    <s v="Call_7587"/>
    <s v="C0015"/>
    <n v="124"/>
    <s v="R02"/>
    <d v="2023-04-06T00:00:00"/>
    <n v="176"/>
    <n v="3.9"/>
    <n v="2023"/>
    <s v="Thursday"/>
    <s v="More than 2 hours"/>
    <n v="4"/>
  </r>
  <r>
    <s v="Call_7588"/>
    <s v="C0005"/>
    <n v="107"/>
    <s v="R02"/>
    <d v="2023-04-06T00:00:00"/>
    <n v="115"/>
    <n v="3.8"/>
    <n v="2023"/>
    <s v="Thursday"/>
    <s v="1 to 2 hours"/>
    <n v="4"/>
  </r>
  <r>
    <s v="Call_7589"/>
    <s v="C0006"/>
    <n v="60"/>
    <s v="R05"/>
    <d v="2023-04-06T00:00:00"/>
    <n v="116"/>
    <n v="3.9"/>
    <n v="2023"/>
    <s v="Thursday"/>
    <s v="30 to 60 mins"/>
    <n v="4"/>
  </r>
  <r>
    <s v="Call_7590"/>
    <s v="C0006"/>
    <n v="158"/>
    <s v="R03"/>
    <d v="2023-04-06T00:00:00"/>
    <n v="100"/>
    <n v="4.0999999999999996"/>
    <n v="2023"/>
    <s v="Thursday"/>
    <s v="More than 2 hours"/>
    <n v="4"/>
  </r>
  <r>
    <s v="Call_7591"/>
    <s v="C0009"/>
    <n v="110"/>
    <s v="R03"/>
    <d v="2023-04-07T00:00:00"/>
    <n v="36"/>
    <n v="2.2000000000000002"/>
    <n v="2023"/>
    <s v="Friday"/>
    <s v="1 to 2 hours"/>
    <n v="2"/>
  </r>
  <r>
    <s v="Call_7592"/>
    <s v="C0001"/>
    <n v="70"/>
    <s v="R03"/>
    <d v="2023-04-07T00:00:00"/>
    <n v="114"/>
    <n v="5"/>
    <n v="2023"/>
    <s v="Friday"/>
    <s v="1 to 2 hours"/>
    <n v="5"/>
  </r>
  <r>
    <s v="Call_7593"/>
    <s v="C0001"/>
    <n v="150"/>
    <s v="R05"/>
    <d v="2023-04-07T00:00:00"/>
    <n v="24"/>
    <n v="3.8"/>
    <n v="2023"/>
    <s v="Friday"/>
    <s v="More than 2 hours"/>
    <n v="4"/>
  </r>
  <r>
    <s v="Call_7594"/>
    <s v="C0007"/>
    <n v="36"/>
    <s v="R02"/>
    <d v="2023-04-07T00:00:00"/>
    <n v="135"/>
    <n v="4.5999999999999996"/>
    <n v="2023"/>
    <s v="Friday"/>
    <s v="30 to 60 mins"/>
    <n v="5"/>
  </r>
  <r>
    <s v="Call_7595"/>
    <s v="C0015"/>
    <n v="74"/>
    <s v="R02"/>
    <d v="2023-04-07T00:00:00"/>
    <n v="30"/>
    <n v="4"/>
    <n v="2023"/>
    <s v="Friday"/>
    <s v="1 to 2 hours"/>
    <n v="4"/>
  </r>
  <r>
    <s v="Call_7596"/>
    <s v="C0004"/>
    <n v="75"/>
    <s v="R02"/>
    <d v="2023-04-07T00:00:00"/>
    <n v="84"/>
    <n v="2.8"/>
    <n v="2023"/>
    <s v="Friday"/>
    <s v="1 to 2 hours"/>
    <n v="3"/>
  </r>
  <r>
    <s v="Call_7597"/>
    <s v="C0008"/>
    <n v="70"/>
    <s v="R04"/>
    <d v="2023-04-07T00:00:00"/>
    <n v="42"/>
    <n v="4.4000000000000004"/>
    <n v="2023"/>
    <s v="Friday"/>
    <s v="1 to 2 hours"/>
    <n v="4"/>
  </r>
  <r>
    <s v="Call_7598"/>
    <s v="C0009"/>
    <n v="23"/>
    <s v="R03"/>
    <d v="2023-04-07T00:00:00"/>
    <n v="117"/>
    <n v="2.4"/>
    <n v="2023"/>
    <s v="Friday"/>
    <s v="10 to 30 mins"/>
    <n v="2"/>
  </r>
  <r>
    <s v="Call_7599"/>
    <s v="C0010"/>
    <n v="104"/>
    <s v="R01"/>
    <d v="2023-04-07T00:00:00"/>
    <n v="164"/>
    <n v="4"/>
    <n v="2023"/>
    <s v="Friday"/>
    <s v="1 to 2 hours"/>
    <n v="4"/>
  </r>
  <r>
    <s v="Call_7600"/>
    <s v="C0001"/>
    <n v="95"/>
    <s v="R04"/>
    <d v="2023-04-08T00:00:00"/>
    <n v="123"/>
    <n v="4.4000000000000004"/>
    <n v="2023"/>
    <s v="Saturday"/>
    <s v="1 to 2 hours"/>
    <n v="4"/>
  </r>
  <r>
    <s v="Call_7601"/>
    <s v="C0011"/>
    <n v="49"/>
    <s v="R05"/>
    <d v="2023-04-08T00:00:00"/>
    <n v="172"/>
    <n v="2.9"/>
    <n v="2023"/>
    <s v="Saturday"/>
    <s v="30 to 60 mins"/>
    <n v="3"/>
  </r>
  <r>
    <s v="Call_7602"/>
    <s v="C0012"/>
    <n v="8"/>
    <s v="R03"/>
    <d v="2023-04-08T00:00:00"/>
    <n v="20"/>
    <n v="4.8"/>
    <n v="2023"/>
    <s v="Saturday"/>
    <s v="Under 10 mins"/>
    <n v="5"/>
  </r>
  <r>
    <s v="Call_7603"/>
    <s v="C0001"/>
    <n v="157"/>
    <s v="R05"/>
    <d v="2023-04-08T00:00:00"/>
    <n v="72"/>
    <n v="3.7"/>
    <n v="2023"/>
    <s v="Saturday"/>
    <s v="More than 2 hours"/>
    <n v="4"/>
  </r>
  <r>
    <s v="Call_7604"/>
    <s v="C0005"/>
    <n v="74"/>
    <s v="R02"/>
    <d v="2023-04-08T00:00:00"/>
    <n v="32"/>
    <n v="4.8"/>
    <n v="2023"/>
    <s v="Saturday"/>
    <s v="1 to 2 hours"/>
    <n v="5"/>
  </r>
  <r>
    <s v="Call_7605"/>
    <s v="C0009"/>
    <n v="72"/>
    <s v="R04"/>
    <d v="2023-04-08T00:00:00"/>
    <n v="140"/>
    <n v="3.2"/>
    <n v="2023"/>
    <s v="Saturday"/>
    <s v="1 to 2 hours"/>
    <n v="3"/>
  </r>
  <r>
    <s v="Call_7606"/>
    <s v="C0005"/>
    <n v="79"/>
    <s v="R02"/>
    <d v="2023-04-09T00:00:00"/>
    <n v="120"/>
    <n v="4.9000000000000004"/>
    <n v="2023"/>
    <s v="Sunday"/>
    <s v="1 to 2 hours"/>
    <n v="5"/>
  </r>
  <r>
    <s v="Call_7607"/>
    <s v="C0015"/>
    <n v="23"/>
    <s v="R02"/>
    <d v="2023-04-09T00:00:00"/>
    <n v="86"/>
    <n v="2.2000000000000002"/>
    <n v="2023"/>
    <s v="Sunday"/>
    <s v="10 to 30 mins"/>
    <n v="2"/>
  </r>
  <r>
    <s v="Call_7608"/>
    <s v="C0004"/>
    <n v="69"/>
    <s v="R02"/>
    <d v="2023-04-09T00:00:00"/>
    <n v="132"/>
    <n v="5"/>
    <n v="2023"/>
    <s v="Sunday"/>
    <s v="1 to 2 hours"/>
    <n v="5"/>
  </r>
  <r>
    <s v="Call_7609"/>
    <s v="C0006"/>
    <n v="64"/>
    <s v="R02"/>
    <d v="2023-04-09T00:00:00"/>
    <n v="80"/>
    <n v="3.3"/>
    <n v="2023"/>
    <s v="Sunday"/>
    <s v="1 to 2 hours"/>
    <n v="3"/>
  </r>
  <r>
    <s v="Call_7610"/>
    <s v="C0002"/>
    <n v="47"/>
    <s v="R05"/>
    <d v="2023-04-09T00:00:00"/>
    <n v="132"/>
    <n v="3.7"/>
    <n v="2023"/>
    <s v="Sunday"/>
    <s v="30 to 60 mins"/>
    <n v="4"/>
  </r>
  <r>
    <s v="Call_7611"/>
    <s v="C0005"/>
    <n v="55"/>
    <s v="R04"/>
    <d v="2023-04-09T00:00:00"/>
    <n v="27"/>
    <n v="3.7"/>
    <n v="2023"/>
    <s v="Sunday"/>
    <s v="30 to 60 mins"/>
    <n v="4"/>
  </r>
  <r>
    <s v="Call_7612"/>
    <s v="C0010"/>
    <n v="104"/>
    <s v="R04"/>
    <d v="2023-04-10T00:00:00"/>
    <n v="68"/>
    <n v="3.6"/>
    <n v="2023"/>
    <s v="Monday"/>
    <s v="1 to 2 hours"/>
    <n v="4"/>
  </r>
  <r>
    <s v="Call_7613"/>
    <s v="C0002"/>
    <n v="116"/>
    <s v="R02"/>
    <d v="2023-04-10T00:00:00"/>
    <n v="22"/>
    <n v="4.7"/>
    <n v="2023"/>
    <s v="Monday"/>
    <s v="1 to 2 hours"/>
    <n v="5"/>
  </r>
  <r>
    <s v="Call_7614"/>
    <s v="C0015"/>
    <n v="99"/>
    <s v="R04"/>
    <d v="2023-04-10T00:00:00"/>
    <n v="42"/>
    <n v="3.1"/>
    <n v="2023"/>
    <s v="Monday"/>
    <s v="1 to 2 hours"/>
    <n v="3"/>
  </r>
  <r>
    <s v="Call_7615"/>
    <s v="C0010"/>
    <n v="84"/>
    <s v="R04"/>
    <d v="2023-04-11T00:00:00"/>
    <n v="38"/>
    <n v="3.3"/>
    <n v="2023"/>
    <s v="Tuesday"/>
    <s v="1 to 2 hours"/>
    <n v="3"/>
  </r>
  <r>
    <s v="Call_7616"/>
    <s v="C0012"/>
    <n v="159"/>
    <s v="R04"/>
    <d v="2023-04-11T00:00:00"/>
    <n v="42"/>
    <n v="4.5"/>
    <n v="2023"/>
    <s v="Tuesday"/>
    <s v="More than 2 hours"/>
    <n v="5"/>
  </r>
  <r>
    <s v="Call_7617"/>
    <s v="C0007"/>
    <n v="25"/>
    <s v="R05"/>
    <d v="2023-04-11T00:00:00"/>
    <n v="75"/>
    <n v="3.9"/>
    <n v="2023"/>
    <s v="Tuesday"/>
    <s v="10 to 30 mins"/>
    <n v="4"/>
  </r>
  <r>
    <s v="Call_7618"/>
    <s v="C0012"/>
    <n v="53"/>
    <s v="R03"/>
    <d v="2023-04-12T00:00:00"/>
    <n v="23"/>
    <n v="4.9000000000000004"/>
    <n v="2023"/>
    <s v="Wednesday"/>
    <s v="30 to 60 mins"/>
    <n v="5"/>
  </r>
  <r>
    <s v="Call_7619"/>
    <s v="C0012"/>
    <n v="89"/>
    <s v="R05"/>
    <d v="2023-04-12T00:00:00"/>
    <n v="200"/>
    <n v="4.8"/>
    <n v="2023"/>
    <s v="Wednesday"/>
    <s v="1 to 2 hours"/>
    <n v="5"/>
  </r>
  <r>
    <s v="Call_7620"/>
    <s v="C0014"/>
    <n v="73"/>
    <s v="R02"/>
    <d v="2023-04-13T00:00:00"/>
    <n v="45"/>
    <n v="3.6"/>
    <n v="2023"/>
    <s v="Thursday"/>
    <s v="1 to 2 hours"/>
    <n v="4"/>
  </r>
  <r>
    <s v="Call_7621"/>
    <s v="C0015"/>
    <n v="50"/>
    <s v="R02"/>
    <d v="2023-04-13T00:00:00"/>
    <n v="105"/>
    <n v="3.5"/>
    <n v="2023"/>
    <s v="Thursday"/>
    <s v="30 to 60 mins"/>
    <n v="4"/>
  </r>
  <r>
    <s v="Call_7622"/>
    <s v="C0011"/>
    <n v="98"/>
    <s v="R02"/>
    <d v="2023-04-13T00:00:00"/>
    <n v="22"/>
    <n v="3.8"/>
    <n v="2023"/>
    <s v="Thursday"/>
    <s v="1 to 2 hours"/>
    <n v="4"/>
  </r>
  <r>
    <s v="Call_7623"/>
    <s v="C0013"/>
    <n v="114"/>
    <s v="R04"/>
    <d v="2023-04-14T00:00:00"/>
    <n v="126"/>
    <n v="4.4000000000000004"/>
    <n v="2023"/>
    <s v="Friday"/>
    <s v="1 to 2 hours"/>
    <n v="4"/>
  </r>
  <r>
    <s v="Call_7624"/>
    <s v="C0006"/>
    <n v="67"/>
    <s v="R04"/>
    <d v="2023-04-14T00:00:00"/>
    <n v="35"/>
    <n v="3"/>
    <n v="2023"/>
    <s v="Friday"/>
    <s v="1 to 2 hours"/>
    <n v="3"/>
  </r>
  <r>
    <s v="Call_7625"/>
    <s v="C0005"/>
    <n v="91"/>
    <s v="R02"/>
    <d v="2023-04-14T00:00:00"/>
    <n v="84"/>
    <n v="4.5"/>
    <n v="2023"/>
    <s v="Friday"/>
    <s v="1 to 2 hours"/>
    <n v="5"/>
  </r>
  <r>
    <s v="Call_7626"/>
    <s v="C0008"/>
    <n v="67"/>
    <s v="R02"/>
    <d v="2023-04-15T00:00:00"/>
    <n v="172"/>
    <n v="4.5"/>
    <n v="2023"/>
    <s v="Saturday"/>
    <s v="1 to 2 hours"/>
    <n v="5"/>
  </r>
  <r>
    <s v="Call_7627"/>
    <s v="C0013"/>
    <n v="139"/>
    <s v="R05"/>
    <d v="2023-04-15T00:00:00"/>
    <n v="114"/>
    <n v="4"/>
    <n v="2023"/>
    <s v="Saturday"/>
    <s v="More than 2 hours"/>
    <n v="4"/>
  </r>
  <r>
    <s v="Call_7628"/>
    <s v="C0008"/>
    <n v="102"/>
    <s v="R05"/>
    <d v="2023-04-15T00:00:00"/>
    <n v="60"/>
    <n v="3.8"/>
    <n v="2023"/>
    <s v="Saturday"/>
    <s v="1 to 2 hours"/>
    <n v="4"/>
  </r>
  <r>
    <s v="Call_7629"/>
    <s v="C0001"/>
    <n v="108"/>
    <s v="R01"/>
    <d v="2023-04-15T00:00:00"/>
    <n v="26"/>
    <n v="3.3"/>
    <n v="2023"/>
    <s v="Saturday"/>
    <s v="1 to 2 hours"/>
    <n v="3"/>
  </r>
  <r>
    <s v="Call_7630"/>
    <s v="C0007"/>
    <n v="66"/>
    <s v="R02"/>
    <d v="2023-04-15T00:00:00"/>
    <n v="210"/>
    <n v="4.3"/>
    <n v="2023"/>
    <s v="Saturday"/>
    <s v="1 to 2 hours"/>
    <n v="4"/>
  </r>
  <r>
    <s v="Call_7631"/>
    <s v="C0009"/>
    <n v="85"/>
    <s v="R05"/>
    <d v="2023-04-15T00:00:00"/>
    <n v="129"/>
    <n v="4.2"/>
    <n v="2023"/>
    <s v="Saturday"/>
    <s v="1 to 2 hours"/>
    <n v="4"/>
  </r>
  <r>
    <s v="Call_7632"/>
    <s v="C0006"/>
    <n v="55"/>
    <s v="R01"/>
    <d v="2023-04-15T00:00:00"/>
    <n v="215"/>
    <n v="4.3"/>
    <n v="2023"/>
    <s v="Saturday"/>
    <s v="30 to 60 mins"/>
    <n v="4"/>
  </r>
  <r>
    <s v="Call_7633"/>
    <s v="C0001"/>
    <n v="17"/>
    <s v="R03"/>
    <d v="2023-04-15T00:00:00"/>
    <n v="69"/>
    <n v="4.5999999999999996"/>
    <n v="2023"/>
    <s v="Saturday"/>
    <s v="10 to 30 mins"/>
    <n v="5"/>
  </r>
  <r>
    <s v="Call_7634"/>
    <s v="C0006"/>
    <n v="128"/>
    <s v="R03"/>
    <d v="2023-04-15T00:00:00"/>
    <n v="140"/>
    <n v="3"/>
    <n v="2023"/>
    <s v="Saturday"/>
    <s v="More than 2 hours"/>
    <n v="3"/>
  </r>
  <r>
    <s v="Call_7635"/>
    <s v="C0015"/>
    <n v="45"/>
    <s v="R01"/>
    <d v="2023-04-16T00:00:00"/>
    <n v="156"/>
    <n v="2.7"/>
    <n v="2023"/>
    <s v="Sunday"/>
    <s v="30 to 60 mins"/>
    <n v="3"/>
  </r>
  <r>
    <s v="Call_7636"/>
    <s v="C0001"/>
    <n v="41"/>
    <s v="R03"/>
    <d v="2023-04-16T00:00:00"/>
    <n v="164"/>
    <n v="3.1"/>
    <n v="2023"/>
    <s v="Sunday"/>
    <s v="30 to 60 mins"/>
    <n v="3"/>
  </r>
  <r>
    <s v="Call_7637"/>
    <s v="C0002"/>
    <n v="49"/>
    <s v="R03"/>
    <d v="2023-04-16T00:00:00"/>
    <n v="195"/>
    <n v="2.6"/>
    <n v="2023"/>
    <s v="Sunday"/>
    <s v="30 to 60 mins"/>
    <n v="3"/>
  </r>
  <r>
    <s v="Call_7638"/>
    <s v="C0004"/>
    <n v="21"/>
    <s v="R04"/>
    <d v="2023-04-16T00:00:00"/>
    <n v="74"/>
    <n v="4.5999999999999996"/>
    <n v="2023"/>
    <s v="Sunday"/>
    <s v="10 to 30 mins"/>
    <n v="5"/>
  </r>
  <r>
    <s v="Call_7639"/>
    <s v="C0012"/>
    <n v="133"/>
    <s v="R01"/>
    <d v="2023-04-16T00:00:00"/>
    <n v="100"/>
    <n v="4"/>
    <n v="2023"/>
    <s v="Sunday"/>
    <s v="More than 2 hours"/>
    <n v="4"/>
  </r>
  <r>
    <s v="Call_7640"/>
    <s v="C0003"/>
    <n v="135"/>
    <s v="R02"/>
    <d v="2023-04-16T00:00:00"/>
    <n v="185"/>
    <n v="4.5"/>
    <n v="2023"/>
    <s v="Sunday"/>
    <s v="More than 2 hours"/>
    <n v="5"/>
  </r>
  <r>
    <s v="Call_7641"/>
    <s v="C0013"/>
    <n v="69"/>
    <s v="R01"/>
    <d v="2023-04-16T00:00:00"/>
    <n v="130"/>
    <n v="1.9"/>
    <n v="2023"/>
    <s v="Sunday"/>
    <s v="1 to 2 hours"/>
    <n v="2"/>
  </r>
  <r>
    <s v="Call_7642"/>
    <s v="C0010"/>
    <n v="110"/>
    <s v="R04"/>
    <d v="2023-04-17T00:00:00"/>
    <n v="21"/>
    <n v="2.6"/>
    <n v="2023"/>
    <s v="Monday"/>
    <s v="1 to 2 hours"/>
    <n v="3"/>
  </r>
  <r>
    <s v="Call_7643"/>
    <s v="C0008"/>
    <n v="64"/>
    <s v="R05"/>
    <d v="2023-04-17T00:00:00"/>
    <n v="88"/>
    <n v="4.3"/>
    <n v="2023"/>
    <s v="Monday"/>
    <s v="1 to 2 hours"/>
    <n v="4"/>
  </r>
  <r>
    <s v="Call_7644"/>
    <s v="C0005"/>
    <n v="105"/>
    <s v="R03"/>
    <d v="2023-04-17T00:00:00"/>
    <n v="35"/>
    <n v="4.4000000000000004"/>
    <n v="2023"/>
    <s v="Monday"/>
    <s v="1 to 2 hours"/>
    <n v="4"/>
  </r>
  <r>
    <s v="Call_7645"/>
    <s v="C0008"/>
    <n v="165"/>
    <s v="R02"/>
    <d v="2023-04-17T00:00:00"/>
    <n v="68"/>
    <n v="4.3"/>
    <n v="2023"/>
    <s v="Monday"/>
    <s v="More than 2 hours"/>
    <n v="4"/>
  </r>
  <r>
    <s v="Call_7646"/>
    <s v="C0015"/>
    <n v="125"/>
    <s v="R02"/>
    <d v="2023-04-17T00:00:00"/>
    <n v="148"/>
    <n v="4.5"/>
    <n v="2023"/>
    <s v="Monday"/>
    <s v="More than 2 hours"/>
    <n v="5"/>
  </r>
  <r>
    <s v="Call_7647"/>
    <s v="C0005"/>
    <n v="88"/>
    <s v="R05"/>
    <d v="2023-04-18T00:00:00"/>
    <n v="81"/>
    <n v="4.2"/>
    <n v="2023"/>
    <s v="Tuesday"/>
    <s v="1 to 2 hours"/>
    <n v="4"/>
  </r>
  <r>
    <s v="Call_7648"/>
    <s v="C0013"/>
    <n v="6"/>
    <s v="R05"/>
    <d v="2023-04-18T00:00:00"/>
    <n v="75"/>
    <n v="3.9"/>
    <n v="2023"/>
    <s v="Tuesday"/>
    <s v="Under 10 mins"/>
    <n v="4"/>
  </r>
  <r>
    <s v="Call_7649"/>
    <s v="C0009"/>
    <n v="69"/>
    <s v="R01"/>
    <d v="2023-04-19T00:00:00"/>
    <n v="32"/>
    <n v="3.6"/>
    <n v="2023"/>
    <s v="Wednesday"/>
    <s v="1 to 2 hours"/>
    <n v="4"/>
  </r>
  <r>
    <s v="Call_7650"/>
    <s v="C0001"/>
    <n v="107"/>
    <s v="R01"/>
    <d v="2023-04-19T00:00:00"/>
    <n v="156"/>
    <n v="3.8"/>
    <n v="2023"/>
    <s v="Wednesday"/>
    <s v="1 to 2 hours"/>
    <n v="4"/>
  </r>
  <r>
    <s v="Call_7651"/>
    <s v="C0004"/>
    <n v="90"/>
    <s v="R02"/>
    <d v="2023-04-19T00:00:00"/>
    <n v="99"/>
    <n v="4.9000000000000004"/>
    <n v="2023"/>
    <s v="Wednesday"/>
    <s v="1 to 2 hours"/>
    <n v="5"/>
  </r>
  <r>
    <s v="Call_7652"/>
    <s v="C0003"/>
    <n v="120"/>
    <s v="R03"/>
    <d v="2023-04-19T00:00:00"/>
    <n v="26"/>
    <n v="4"/>
    <n v="2023"/>
    <s v="Wednesday"/>
    <s v="1 to 2 hours"/>
    <n v="4"/>
  </r>
  <r>
    <s v="Call_7653"/>
    <s v="C0011"/>
    <n v="47"/>
    <s v="R01"/>
    <d v="2023-04-19T00:00:00"/>
    <n v="84"/>
    <n v="4.0999999999999996"/>
    <n v="2023"/>
    <s v="Wednesday"/>
    <s v="30 to 60 mins"/>
    <n v="4"/>
  </r>
  <r>
    <s v="Call_7654"/>
    <s v="C0014"/>
    <n v="60"/>
    <s v="R03"/>
    <d v="2023-04-19T00:00:00"/>
    <n v="84"/>
    <n v="4.8"/>
    <n v="2023"/>
    <s v="Wednesday"/>
    <s v="30 to 60 mins"/>
    <n v="5"/>
  </r>
  <r>
    <s v="Call_7655"/>
    <s v="C0006"/>
    <n v="64"/>
    <s v="R02"/>
    <d v="2023-04-19T00:00:00"/>
    <n v="170"/>
    <n v="2.2999999999999998"/>
    <n v="2023"/>
    <s v="Wednesday"/>
    <s v="1 to 2 hours"/>
    <n v="2"/>
  </r>
  <r>
    <s v="Call_7656"/>
    <s v="C0008"/>
    <n v="62"/>
    <s v="R01"/>
    <d v="2023-04-19T00:00:00"/>
    <n v="35"/>
    <n v="4.4000000000000004"/>
    <n v="2023"/>
    <s v="Wednesday"/>
    <s v="1 to 2 hours"/>
    <n v="4"/>
  </r>
  <r>
    <s v="Call_7657"/>
    <s v="C0010"/>
    <n v="88"/>
    <s v="R01"/>
    <d v="2023-04-20T00:00:00"/>
    <n v="35"/>
    <n v="3.8"/>
    <n v="2023"/>
    <s v="Thursday"/>
    <s v="1 to 2 hours"/>
    <n v="4"/>
  </r>
  <r>
    <s v="Call_7658"/>
    <s v="C0015"/>
    <n v="116"/>
    <s v="R01"/>
    <d v="2023-04-20T00:00:00"/>
    <n v="132"/>
    <n v="5"/>
    <n v="2023"/>
    <s v="Thursday"/>
    <s v="1 to 2 hours"/>
    <n v="5"/>
  </r>
  <r>
    <s v="Call_7659"/>
    <s v="C0004"/>
    <n v="82"/>
    <s v="R05"/>
    <d v="2023-04-21T00:00:00"/>
    <n v="144"/>
    <n v="3.3"/>
    <n v="2023"/>
    <s v="Friday"/>
    <s v="1 to 2 hours"/>
    <n v="3"/>
  </r>
  <r>
    <s v="Call_7660"/>
    <s v="C0008"/>
    <n v="99"/>
    <s v="R02"/>
    <d v="2023-04-21T00:00:00"/>
    <n v="48"/>
    <n v="5"/>
    <n v="2023"/>
    <s v="Friday"/>
    <s v="1 to 2 hours"/>
    <n v="5"/>
  </r>
  <r>
    <s v="Call_7661"/>
    <s v="C0008"/>
    <n v="55"/>
    <s v="R05"/>
    <d v="2023-04-21T00:00:00"/>
    <n v="200"/>
    <n v="2.2999999999999998"/>
    <n v="2023"/>
    <s v="Friday"/>
    <s v="30 to 60 mins"/>
    <n v="2"/>
  </r>
  <r>
    <s v="Call_7662"/>
    <s v="C0006"/>
    <n v="61"/>
    <s v="R03"/>
    <d v="2023-04-21T00:00:00"/>
    <n v="38"/>
    <n v="4.8"/>
    <n v="2023"/>
    <s v="Friday"/>
    <s v="1 to 2 hours"/>
    <n v="5"/>
  </r>
  <r>
    <s v="Call_7663"/>
    <s v="C0015"/>
    <n v="36"/>
    <s v="R04"/>
    <d v="2023-04-21T00:00:00"/>
    <n v="81"/>
    <n v="3.7"/>
    <n v="2023"/>
    <s v="Friday"/>
    <s v="30 to 60 mins"/>
    <n v="4"/>
  </r>
  <r>
    <s v="Call_7664"/>
    <s v="C0004"/>
    <n v="123"/>
    <s v="R01"/>
    <d v="2023-04-21T00:00:00"/>
    <n v="120"/>
    <n v="4.2"/>
    <n v="2023"/>
    <s v="Friday"/>
    <s v="More than 2 hours"/>
    <n v="4"/>
  </r>
  <r>
    <s v="Call_7665"/>
    <s v="C0002"/>
    <n v="24"/>
    <s v="R03"/>
    <d v="2023-04-21T00:00:00"/>
    <n v="74"/>
    <n v="4.8"/>
    <n v="2023"/>
    <s v="Friday"/>
    <s v="10 to 30 mins"/>
    <n v="5"/>
  </r>
  <r>
    <s v="Call_7666"/>
    <s v="C0004"/>
    <n v="43"/>
    <s v="R01"/>
    <d v="2023-04-22T00:00:00"/>
    <n v="128"/>
    <n v="4.7"/>
    <n v="2023"/>
    <s v="Saturday"/>
    <s v="30 to 60 mins"/>
    <n v="5"/>
  </r>
  <r>
    <s v="Call_7667"/>
    <s v="C0014"/>
    <n v="95"/>
    <s v="R02"/>
    <d v="2023-04-22T00:00:00"/>
    <n v="21"/>
    <n v="3.9"/>
    <n v="2023"/>
    <s v="Saturday"/>
    <s v="1 to 2 hours"/>
    <n v="4"/>
  </r>
  <r>
    <s v="Call_7668"/>
    <s v="C0008"/>
    <n v="53"/>
    <s v="R01"/>
    <d v="2023-04-22T00:00:00"/>
    <n v="110"/>
    <n v="4.3"/>
    <n v="2023"/>
    <s v="Saturday"/>
    <s v="30 to 60 mins"/>
    <n v="4"/>
  </r>
  <r>
    <s v="Call_7669"/>
    <s v="C0004"/>
    <n v="113"/>
    <s v="R01"/>
    <d v="2023-04-22T00:00:00"/>
    <n v="145"/>
    <n v="4"/>
    <n v="2023"/>
    <s v="Saturday"/>
    <s v="1 to 2 hours"/>
    <n v="4"/>
  </r>
  <r>
    <s v="Call_7670"/>
    <s v="C0008"/>
    <n v="89"/>
    <s v="R04"/>
    <d v="2023-04-22T00:00:00"/>
    <n v="129"/>
    <n v="4"/>
    <n v="2023"/>
    <s v="Saturday"/>
    <s v="1 to 2 hours"/>
    <n v="4"/>
  </r>
  <r>
    <s v="Call_7671"/>
    <s v="C0010"/>
    <n v="84"/>
    <s v="R05"/>
    <d v="2023-04-22T00:00:00"/>
    <n v="156"/>
    <n v="3.2"/>
    <n v="2023"/>
    <s v="Saturday"/>
    <s v="1 to 2 hours"/>
    <n v="3"/>
  </r>
  <r>
    <s v="Call_7672"/>
    <s v="C0002"/>
    <n v="130"/>
    <s v="R01"/>
    <d v="2023-04-23T00:00:00"/>
    <n v="120"/>
    <n v="3.8"/>
    <n v="2023"/>
    <s v="Sunday"/>
    <s v="More than 2 hours"/>
    <n v="4"/>
  </r>
  <r>
    <s v="Call_7673"/>
    <s v="C0014"/>
    <n v="163"/>
    <s v="R04"/>
    <d v="2023-04-23T00:00:00"/>
    <n v="62"/>
    <n v="3.4"/>
    <n v="2023"/>
    <s v="Sunday"/>
    <s v="More than 2 hours"/>
    <n v="3"/>
  </r>
  <r>
    <s v="Call_7674"/>
    <s v="C0009"/>
    <n v="127"/>
    <s v="R01"/>
    <d v="2023-04-23T00:00:00"/>
    <n v="160"/>
    <n v="3.2"/>
    <n v="2023"/>
    <s v="Sunday"/>
    <s v="More than 2 hours"/>
    <n v="3"/>
  </r>
  <r>
    <s v="Call_7675"/>
    <s v="C0004"/>
    <n v="50"/>
    <s v="R01"/>
    <d v="2023-04-23T00:00:00"/>
    <n v="56"/>
    <n v="4.7"/>
    <n v="2023"/>
    <s v="Sunday"/>
    <s v="30 to 60 mins"/>
    <n v="5"/>
  </r>
  <r>
    <s v="Call_7676"/>
    <s v="C0007"/>
    <n v="88"/>
    <s v="R03"/>
    <d v="2023-04-23T00:00:00"/>
    <n v="72"/>
    <n v="4"/>
    <n v="2023"/>
    <s v="Sunday"/>
    <s v="1 to 2 hours"/>
    <n v="4"/>
  </r>
  <r>
    <s v="Call_7677"/>
    <s v="C0004"/>
    <n v="139"/>
    <s v="R02"/>
    <d v="2023-04-24T00:00:00"/>
    <n v="81"/>
    <n v="4.8"/>
    <n v="2023"/>
    <s v="Monday"/>
    <s v="More than 2 hours"/>
    <n v="5"/>
  </r>
  <r>
    <s v="Call_7678"/>
    <s v="C0014"/>
    <n v="111"/>
    <s v="R01"/>
    <d v="2023-04-24T00:00:00"/>
    <n v="144"/>
    <n v="3.9"/>
    <n v="2023"/>
    <s v="Monday"/>
    <s v="1 to 2 hours"/>
    <n v="4"/>
  </r>
  <r>
    <s v="Call_7679"/>
    <s v="C0005"/>
    <n v="115"/>
    <s v="R02"/>
    <d v="2023-04-24T00:00:00"/>
    <n v="111"/>
    <n v="4.3"/>
    <n v="2023"/>
    <s v="Monday"/>
    <s v="1 to 2 hours"/>
    <n v="4"/>
  </r>
  <r>
    <s v="Call_7680"/>
    <s v="C0008"/>
    <n v="26"/>
    <s v="R04"/>
    <d v="2023-04-24T00:00:00"/>
    <n v="43"/>
    <n v="4.2"/>
    <n v="2023"/>
    <s v="Monday"/>
    <s v="10 to 30 mins"/>
    <n v="4"/>
  </r>
  <r>
    <s v="Call_7681"/>
    <s v="C0010"/>
    <n v="131"/>
    <s v="R03"/>
    <d v="2023-04-24T00:00:00"/>
    <n v="41"/>
    <n v="4.9000000000000004"/>
    <n v="2023"/>
    <s v="Monday"/>
    <s v="More than 2 hours"/>
    <n v="5"/>
  </r>
  <r>
    <s v="Call_7682"/>
    <s v="C0005"/>
    <n v="27"/>
    <s v="R03"/>
    <d v="2023-04-24T00:00:00"/>
    <n v="74"/>
    <n v="4"/>
    <n v="2023"/>
    <s v="Monday"/>
    <s v="10 to 30 mins"/>
    <n v="4"/>
  </r>
  <r>
    <s v="Call_7683"/>
    <s v="C0012"/>
    <n v="75"/>
    <s v="R01"/>
    <d v="2023-04-24T00:00:00"/>
    <n v="43"/>
    <n v="4.9000000000000004"/>
    <n v="2023"/>
    <s v="Monday"/>
    <s v="1 to 2 hours"/>
    <n v="5"/>
  </r>
  <r>
    <s v="Call_7684"/>
    <s v="C0006"/>
    <n v="123"/>
    <s v="R03"/>
    <d v="2023-04-24T00:00:00"/>
    <n v="128"/>
    <n v="3.6"/>
    <n v="2023"/>
    <s v="Monday"/>
    <s v="More than 2 hours"/>
    <n v="4"/>
  </r>
  <r>
    <s v="Call_7685"/>
    <s v="C0003"/>
    <n v="129"/>
    <s v="R03"/>
    <d v="2023-04-25T00:00:00"/>
    <n v="144"/>
    <n v="4.0999999999999996"/>
    <n v="2023"/>
    <s v="Tuesday"/>
    <s v="More than 2 hours"/>
    <n v="4"/>
  </r>
  <r>
    <s v="Call_7686"/>
    <s v="C0012"/>
    <n v="124"/>
    <s v="R02"/>
    <d v="2023-04-25T00:00:00"/>
    <n v="132"/>
    <n v="4.9000000000000004"/>
    <n v="2023"/>
    <s v="Tuesday"/>
    <s v="More than 2 hours"/>
    <n v="5"/>
  </r>
  <r>
    <s v="Call_7687"/>
    <s v="C0005"/>
    <n v="108"/>
    <s v="R02"/>
    <d v="2023-04-25T00:00:00"/>
    <n v="180"/>
    <n v="3.9"/>
    <n v="2023"/>
    <s v="Tuesday"/>
    <s v="1 to 2 hours"/>
    <n v="4"/>
  </r>
  <r>
    <s v="Call_7688"/>
    <s v="C0011"/>
    <n v="15"/>
    <s v="R02"/>
    <d v="2023-04-25T00:00:00"/>
    <n v="31"/>
    <n v="4.0999999999999996"/>
    <n v="2023"/>
    <s v="Tuesday"/>
    <s v="10 to 30 mins"/>
    <n v="4"/>
  </r>
  <r>
    <s v="Call_7689"/>
    <s v="C0005"/>
    <n v="66"/>
    <s v="R02"/>
    <d v="2023-04-25T00:00:00"/>
    <n v="102"/>
    <n v="3.8"/>
    <n v="2023"/>
    <s v="Tuesday"/>
    <s v="1 to 2 hours"/>
    <n v="4"/>
  </r>
  <r>
    <s v="Call_7690"/>
    <s v="C0007"/>
    <n v="126"/>
    <s v="R01"/>
    <d v="2023-04-26T00:00:00"/>
    <n v="175"/>
    <n v="4.8"/>
    <n v="2023"/>
    <s v="Wednesday"/>
    <s v="More than 2 hours"/>
    <n v="5"/>
  </r>
  <r>
    <s v="Call_7691"/>
    <s v="C0012"/>
    <n v="26"/>
    <s v="R05"/>
    <d v="2023-04-26T00:00:00"/>
    <n v="87"/>
    <n v="4.7"/>
    <n v="2023"/>
    <s v="Wednesday"/>
    <s v="10 to 30 mins"/>
    <n v="5"/>
  </r>
  <r>
    <s v="Call_7692"/>
    <s v="C0002"/>
    <n v="105"/>
    <s v="R01"/>
    <d v="2023-04-26T00:00:00"/>
    <n v="66"/>
    <n v="4.2"/>
    <n v="2023"/>
    <s v="Wednesday"/>
    <s v="1 to 2 hours"/>
    <n v="4"/>
  </r>
  <r>
    <s v="Call_7693"/>
    <s v="C0002"/>
    <n v="31"/>
    <s v="R01"/>
    <d v="2023-04-26T00:00:00"/>
    <n v="25"/>
    <n v="3.2"/>
    <n v="2023"/>
    <s v="Wednesday"/>
    <s v="30 to 60 mins"/>
    <n v="3"/>
  </r>
  <r>
    <s v="Call_7694"/>
    <s v="C0005"/>
    <n v="109"/>
    <s v="R02"/>
    <d v="2023-04-26T00:00:00"/>
    <n v="126"/>
    <n v="3.4"/>
    <n v="2023"/>
    <s v="Wednesday"/>
    <s v="1 to 2 hours"/>
    <n v="3"/>
  </r>
  <r>
    <s v="Call_7695"/>
    <s v="C0003"/>
    <n v="113"/>
    <s v="R04"/>
    <d v="2023-04-27T00:00:00"/>
    <n v="42"/>
    <n v="4.5999999999999996"/>
    <n v="2023"/>
    <s v="Thursday"/>
    <s v="1 to 2 hours"/>
    <n v="5"/>
  </r>
  <r>
    <s v="Call_7696"/>
    <s v="C0007"/>
    <n v="101"/>
    <s v="R05"/>
    <d v="2023-04-27T00:00:00"/>
    <n v="225"/>
    <n v="1.9"/>
    <n v="2023"/>
    <s v="Thursday"/>
    <s v="1 to 2 hours"/>
    <n v="2"/>
  </r>
  <r>
    <s v="Call_7697"/>
    <s v="C0014"/>
    <n v="156"/>
    <s v="R05"/>
    <d v="2023-04-27T00:00:00"/>
    <n v="42"/>
    <n v="3.3"/>
    <n v="2023"/>
    <s v="Thursday"/>
    <s v="More than 2 hours"/>
    <n v="3"/>
  </r>
  <r>
    <s v="Call_7698"/>
    <s v="C0005"/>
    <n v="145"/>
    <s v="R04"/>
    <d v="2023-04-28T00:00:00"/>
    <n v="110"/>
    <n v="3.1"/>
    <n v="2023"/>
    <s v="Friday"/>
    <s v="More than 2 hours"/>
    <n v="3"/>
  </r>
  <r>
    <s v="Call_7699"/>
    <s v="C0006"/>
    <n v="36"/>
    <s v="R02"/>
    <d v="2023-04-28T00:00:00"/>
    <n v="225"/>
    <n v="4.8"/>
    <n v="2023"/>
    <s v="Friday"/>
    <s v="30 to 60 mins"/>
    <n v="5"/>
  </r>
  <r>
    <s v="Call_7700"/>
    <s v="C0002"/>
    <n v="135"/>
    <s v="R03"/>
    <d v="2023-04-29T00:00:00"/>
    <n v="125"/>
    <n v="3.3"/>
    <n v="2023"/>
    <s v="Saturday"/>
    <s v="More than 2 hours"/>
    <n v="3"/>
  </r>
  <r>
    <s v="Call_7701"/>
    <s v="C0007"/>
    <n v="81"/>
    <s v="R02"/>
    <d v="2023-04-29T00:00:00"/>
    <n v="78"/>
    <n v="2.9"/>
    <n v="2023"/>
    <s v="Saturday"/>
    <s v="1 to 2 hours"/>
    <n v="3"/>
  </r>
  <r>
    <s v="Call_7702"/>
    <s v="C0007"/>
    <n v="81"/>
    <s v="R04"/>
    <d v="2023-04-29T00:00:00"/>
    <n v="40"/>
    <n v="2.4"/>
    <n v="2023"/>
    <s v="Saturday"/>
    <s v="1 to 2 hours"/>
    <n v="2"/>
  </r>
  <r>
    <s v="Call_7703"/>
    <s v="C0009"/>
    <n v="93"/>
    <s v="R01"/>
    <d v="2023-04-29T00:00:00"/>
    <n v="150"/>
    <n v="4.5999999999999996"/>
    <n v="2023"/>
    <s v="Saturday"/>
    <s v="1 to 2 hours"/>
    <n v="5"/>
  </r>
  <r>
    <s v="Call_7704"/>
    <s v="C0005"/>
    <n v="14"/>
    <s v="R02"/>
    <d v="2023-04-29T00:00:00"/>
    <n v="96"/>
    <n v="4.8"/>
    <n v="2023"/>
    <s v="Saturday"/>
    <s v="10 to 30 mins"/>
    <n v="5"/>
  </r>
  <r>
    <s v="Call_7705"/>
    <s v="C0002"/>
    <n v="95"/>
    <s v="R04"/>
    <d v="2023-04-30T00:00:00"/>
    <n v="75"/>
    <n v="4.8"/>
    <n v="2023"/>
    <s v="Sunday"/>
    <s v="1 to 2 hours"/>
    <n v="5"/>
  </r>
  <r>
    <s v="Call_7706"/>
    <s v="C0009"/>
    <n v="81"/>
    <s v="R04"/>
    <d v="2023-04-30T00:00:00"/>
    <n v="60"/>
    <n v="3.6"/>
    <n v="2023"/>
    <s v="Sunday"/>
    <s v="1 to 2 hours"/>
    <n v="4"/>
  </r>
  <r>
    <s v="Call_7707"/>
    <s v="C0008"/>
    <n v="60"/>
    <s v="R02"/>
    <d v="2023-05-01T00:00:00"/>
    <n v="41"/>
    <n v="4.8"/>
    <n v="2023"/>
    <s v="Monday"/>
    <s v="30 to 60 mins"/>
    <n v="5"/>
  </r>
  <r>
    <s v="Call_7708"/>
    <s v="C0013"/>
    <n v="137"/>
    <s v="R01"/>
    <d v="2023-05-01T00:00:00"/>
    <n v="20"/>
    <n v="4.2"/>
    <n v="2023"/>
    <s v="Monday"/>
    <s v="More than 2 hours"/>
    <n v="4"/>
  </r>
  <r>
    <s v="Call_7709"/>
    <s v="C0004"/>
    <n v="112"/>
    <s v="R03"/>
    <d v="2023-05-01T00:00:00"/>
    <n v="84"/>
    <n v="2.6"/>
    <n v="2023"/>
    <s v="Monday"/>
    <s v="1 to 2 hours"/>
    <n v="3"/>
  </r>
  <r>
    <s v="Call_7710"/>
    <s v="C0002"/>
    <n v="76"/>
    <s v="R05"/>
    <d v="2023-05-01T00:00:00"/>
    <n v="140"/>
    <n v="3.7"/>
    <n v="2023"/>
    <s v="Monday"/>
    <s v="1 to 2 hours"/>
    <n v="4"/>
  </r>
  <r>
    <s v="Call_7711"/>
    <s v="C0015"/>
    <n v="73"/>
    <s v="R02"/>
    <d v="2023-05-01T00:00:00"/>
    <n v="66"/>
    <n v="4.8"/>
    <n v="2023"/>
    <s v="Monday"/>
    <s v="1 to 2 hours"/>
    <n v="5"/>
  </r>
  <r>
    <s v="Call_7712"/>
    <s v="C0010"/>
    <n v="119"/>
    <s v="R01"/>
    <d v="2023-05-01T00:00:00"/>
    <n v="105"/>
    <n v="4.7"/>
    <n v="2023"/>
    <s v="Monday"/>
    <s v="1 to 2 hours"/>
    <n v="5"/>
  </r>
  <r>
    <s v="Call_7713"/>
    <s v="C0003"/>
    <n v="135"/>
    <s v="R04"/>
    <d v="2023-05-02T00:00:00"/>
    <n v="104"/>
    <n v="4.0999999999999996"/>
    <n v="2023"/>
    <s v="Tuesday"/>
    <s v="More than 2 hours"/>
    <n v="4"/>
  </r>
  <r>
    <s v="Call_7714"/>
    <s v="C0013"/>
    <n v="41"/>
    <s v="R03"/>
    <d v="2023-05-02T00:00:00"/>
    <n v="123"/>
    <n v="3.2"/>
    <n v="2023"/>
    <s v="Tuesday"/>
    <s v="30 to 60 mins"/>
    <n v="3"/>
  </r>
  <r>
    <s v="Call_7715"/>
    <s v="C0005"/>
    <n v="35"/>
    <s v="R04"/>
    <d v="2023-05-03T00:00:00"/>
    <n v="215"/>
    <n v="4.3"/>
    <n v="2023"/>
    <s v="Wednesday"/>
    <s v="30 to 60 mins"/>
    <n v="4"/>
  </r>
  <r>
    <s v="Call_7716"/>
    <s v="C0003"/>
    <n v="96"/>
    <s v="R02"/>
    <d v="2023-05-03T00:00:00"/>
    <n v="46"/>
    <n v="0.7"/>
    <n v="2023"/>
    <s v="Wednesday"/>
    <s v="1 to 2 hours"/>
    <n v="1"/>
  </r>
  <r>
    <s v="Call_7717"/>
    <s v="C0009"/>
    <n v="61"/>
    <s v="R03"/>
    <d v="2023-05-03T00:00:00"/>
    <n v="115"/>
    <n v="3.7"/>
    <n v="2023"/>
    <s v="Wednesday"/>
    <s v="1 to 2 hours"/>
    <n v="4"/>
  </r>
  <r>
    <s v="Call_7718"/>
    <s v="C0003"/>
    <n v="91"/>
    <s v="R03"/>
    <d v="2023-05-03T00:00:00"/>
    <n v="124"/>
    <n v="3.9"/>
    <n v="2023"/>
    <s v="Wednesday"/>
    <s v="1 to 2 hours"/>
    <n v="4"/>
  </r>
  <r>
    <s v="Call_7719"/>
    <s v="C0001"/>
    <n v="30"/>
    <s v="R03"/>
    <d v="2023-05-04T00:00:00"/>
    <n v="205"/>
    <n v="4.5"/>
    <n v="2023"/>
    <s v="Thursday"/>
    <s v="10 to 30 mins"/>
    <n v="5"/>
  </r>
  <r>
    <s v="Call_7720"/>
    <s v="C0008"/>
    <n v="111"/>
    <s v="R01"/>
    <d v="2023-05-04T00:00:00"/>
    <n v="90"/>
    <n v="2.8"/>
    <n v="2023"/>
    <s v="Thursday"/>
    <s v="1 to 2 hours"/>
    <n v="3"/>
  </r>
  <r>
    <s v="Call_7721"/>
    <s v="C0009"/>
    <n v="81"/>
    <s v="R02"/>
    <d v="2023-05-04T00:00:00"/>
    <n v="92"/>
    <n v="4.9000000000000004"/>
    <n v="2023"/>
    <s v="Thursday"/>
    <s v="1 to 2 hours"/>
    <n v="5"/>
  </r>
  <r>
    <s v="Call_7722"/>
    <s v="C0002"/>
    <n v="40"/>
    <s v="R04"/>
    <d v="2023-05-06T00:00:00"/>
    <n v="108"/>
    <n v="4.2"/>
    <n v="2023"/>
    <s v="Saturday"/>
    <s v="30 to 60 mins"/>
    <n v="4"/>
  </r>
  <r>
    <s v="Call_7723"/>
    <s v="C0008"/>
    <n v="143"/>
    <s v="R04"/>
    <d v="2023-05-06T00:00:00"/>
    <n v="54"/>
    <n v="4.4000000000000004"/>
    <n v="2023"/>
    <s v="Saturday"/>
    <s v="More than 2 hours"/>
    <n v="4"/>
  </r>
  <r>
    <s v="Call_7724"/>
    <s v="C0002"/>
    <n v="70"/>
    <s v="R04"/>
    <d v="2023-05-07T00:00:00"/>
    <n v="44"/>
    <n v="3.5"/>
    <n v="2023"/>
    <s v="Sunday"/>
    <s v="1 to 2 hours"/>
    <n v="4"/>
  </r>
  <r>
    <s v="Call_7725"/>
    <s v="C0015"/>
    <n v="137"/>
    <s v="R04"/>
    <d v="2023-05-07T00:00:00"/>
    <n v="44"/>
    <n v="4.7"/>
    <n v="2023"/>
    <s v="Sunday"/>
    <s v="More than 2 hours"/>
    <n v="5"/>
  </r>
  <r>
    <s v="Call_7726"/>
    <s v="C0003"/>
    <n v="52"/>
    <s v="R02"/>
    <d v="2023-05-08T00:00:00"/>
    <n v="37"/>
    <n v="4.9000000000000004"/>
    <n v="2023"/>
    <s v="Monday"/>
    <s v="30 to 60 mins"/>
    <n v="5"/>
  </r>
  <r>
    <s v="Call_7727"/>
    <s v="C0004"/>
    <n v="31"/>
    <s v="R01"/>
    <d v="2023-05-08T00:00:00"/>
    <n v="180"/>
    <n v="4.5"/>
    <n v="2023"/>
    <s v="Monday"/>
    <s v="30 to 60 mins"/>
    <n v="5"/>
  </r>
  <r>
    <s v="Call_7728"/>
    <s v="C0003"/>
    <n v="114"/>
    <s v="R03"/>
    <d v="2023-05-08T00:00:00"/>
    <n v="105"/>
    <n v="4.9000000000000004"/>
    <n v="2023"/>
    <s v="Monday"/>
    <s v="1 to 2 hours"/>
    <n v="5"/>
  </r>
  <r>
    <s v="Call_7729"/>
    <s v="C0015"/>
    <n v="73"/>
    <s v="R05"/>
    <d v="2023-05-08T00:00:00"/>
    <n v="87"/>
    <n v="3.6"/>
    <n v="2023"/>
    <s v="Monday"/>
    <s v="1 to 2 hours"/>
    <n v="4"/>
  </r>
  <r>
    <s v="Call_7730"/>
    <s v="C0009"/>
    <n v="25"/>
    <s v="R01"/>
    <d v="2023-05-08T00:00:00"/>
    <n v="52"/>
    <n v="3.8"/>
    <n v="2023"/>
    <s v="Monday"/>
    <s v="10 to 30 mins"/>
    <n v="4"/>
  </r>
  <r>
    <s v="Call_7731"/>
    <s v="C0011"/>
    <n v="44"/>
    <s v="R03"/>
    <d v="2023-05-08T00:00:00"/>
    <n v="63"/>
    <n v="3.5"/>
    <n v="2023"/>
    <s v="Monday"/>
    <s v="30 to 60 mins"/>
    <n v="4"/>
  </r>
  <r>
    <s v="Call_7732"/>
    <s v="C0006"/>
    <n v="34"/>
    <s v="R02"/>
    <d v="2023-05-09T00:00:00"/>
    <n v="195"/>
    <n v="4.8"/>
    <n v="2023"/>
    <s v="Tuesday"/>
    <s v="30 to 60 mins"/>
    <n v="5"/>
  </r>
  <r>
    <s v="Call_7733"/>
    <s v="C0008"/>
    <n v="89"/>
    <s v="R04"/>
    <d v="2023-05-10T00:00:00"/>
    <n v="176"/>
    <n v="4.5"/>
    <n v="2023"/>
    <s v="Wednesday"/>
    <s v="1 to 2 hours"/>
    <n v="5"/>
  </r>
  <r>
    <s v="Call_7734"/>
    <s v="C0010"/>
    <n v="54"/>
    <s v="R01"/>
    <d v="2023-05-11T00:00:00"/>
    <n v="31"/>
    <n v="3.3"/>
    <n v="2023"/>
    <s v="Thursday"/>
    <s v="30 to 60 mins"/>
    <n v="3"/>
  </r>
  <r>
    <s v="Call_7735"/>
    <s v="C0005"/>
    <n v="25"/>
    <s v="R01"/>
    <d v="2023-05-12T00:00:00"/>
    <n v="27"/>
    <n v="3.2"/>
    <n v="2023"/>
    <s v="Friday"/>
    <s v="10 to 30 mins"/>
    <n v="3"/>
  </r>
  <r>
    <s v="Call_7736"/>
    <s v="C0013"/>
    <n v="91"/>
    <s v="R04"/>
    <d v="2023-05-12T00:00:00"/>
    <n v="76"/>
    <n v="4.9000000000000004"/>
    <n v="2023"/>
    <s v="Friday"/>
    <s v="1 to 2 hours"/>
    <n v="5"/>
  </r>
  <r>
    <s v="Call_7737"/>
    <s v="C0011"/>
    <n v="144"/>
    <s v="R03"/>
    <d v="2023-05-12T00:00:00"/>
    <n v="62"/>
    <n v="4.8"/>
    <n v="2023"/>
    <s v="Friday"/>
    <s v="More than 2 hours"/>
    <n v="5"/>
  </r>
  <r>
    <s v="Call_7738"/>
    <s v="C0013"/>
    <n v="81"/>
    <s v="R02"/>
    <d v="2023-05-14T00:00:00"/>
    <n v="100"/>
    <n v="1.3"/>
    <n v="2023"/>
    <s v="Sunday"/>
    <s v="1 to 2 hours"/>
    <n v="1"/>
  </r>
  <r>
    <s v="Call_7739"/>
    <s v="C0001"/>
    <n v="92"/>
    <s v="R01"/>
    <d v="2023-05-14T00:00:00"/>
    <n v="44"/>
    <n v="3.1"/>
    <n v="2023"/>
    <s v="Sunday"/>
    <s v="1 to 2 hours"/>
    <n v="3"/>
  </r>
  <r>
    <s v="Call_7740"/>
    <s v="C0005"/>
    <n v="115"/>
    <s v="R04"/>
    <d v="2023-05-14T00:00:00"/>
    <n v="168"/>
    <n v="3.4"/>
    <n v="2023"/>
    <s v="Sunday"/>
    <s v="1 to 2 hours"/>
    <n v="3"/>
  </r>
  <r>
    <s v="Call_7741"/>
    <s v="C0007"/>
    <n v="56"/>
    <s v="R04"/>
    <d v="2023-05-15T00:00:00"/>
    <n v="200"/>
    <n v="4.5999999999999996"/>
    <n v="2023"/>
    <s v="Monday"/>
    <s v="30 to 60 mins"/>
    <n v="5"/>
  </r>
  <r>
    <s v="Call_7742"/>
    <s v="C0004"/>
    <n v="154"/>
    <s v="R01"/>
    <d v="2023-05-15T00:00:00"/>
    <n v="84"/>
    <n v="4.3"/>
    <n v="2023"/>
    <s v="Monday"/>
    <s v="More than 2 hours"/>
    <n v="4"/>
  </r>
  <r>
    <s v="Call_7743"/>
    <s v="C0008"/>
    <n v="51"/>
    <s v="R04"/>
    <d v="2023-05-16T00:00:00"/>
    <n v="117"/>
    <n v="2.7"/>
    <n v="2023"/>
    <s v="Tuesday"/>
    <s v="30 to 60 mins"/>
    <n v="3"/>
  </r>
  <r>
    <s v="Call_7744"/>
    <s v="C0006"/>
    <n v="21"/>
    <s v="R02"/>
    <d v="2023-05-16T00:00:00"/>
    <n v="63"/>
    <n v="4.2"/>
    <n v="2023"/>
    <s v="Tuesday"/>
    <s v="10 to 30 mins"/>
    <n v="4"/>
  </r>
  <r>
    <s v="Call_7745"/>
    <s v="C0005"/>
    <n v="80"/>
    <s v="R04"/>
    <d v="2023-05-17T00:00:00"/>
    <n v="145"/>
    <n v="4.9000000000000004"/>
    <n v="2023"/>
    <s v="Wednesday"/>
    <s v="1 to 2 hours"/>
    <n v="5"/>
  </r>
  <r>
    <s v="Call_7746"/>
    <s v="C0008"/>
    <n v="139"/>
    <s v="R01"/>
    <d v="2023-05-17T00:00:00"/>
    <n v="220"/>
    <n v="3.2"/>
    <n v="2023"/>
    <s v="Wednesday"/>
    <s v="More than 2 hours"/>
    <n v="3"/>
  </r>
  <r>
    <s v="Call_7747"/>
    <s v="C0002"/>
    <n v="50"/>
    <s v="R02"/>
    <d v="2023-05-17T00:00:00"/>
    <n v="26"/>
    <n v="4.7"/>
    <n v="2023"/>
    <s v="Wednesday"/>
    <s v="30 to 60 mins"/>
    <n v="5"/>
  </r>
  <r>
    <s v="Call_7748"/>
    <s v="C0005"/>
    <n v="88"/>
    <s v="R04"/>
    <d v="2023-05-17T00:00:00"/>
    <n v="78"/>
    <n v="4.3"/>
    <n v="2023"/>
    <s v="Wednesday"/>
    <s v="1 to 2 hours"/>
    <n v="4"/>
  </r>
  <r>
    <s v="Call_7749"/>
    <s v="C0010"/>
    <n v="19"/>
    <s v="R03"/>
    <d v="2023-05-18T00:00:00"/>
    <n v="132"/>
    <n v="4.3"/>
    <n v="2023"/>
    <s v="Thursday"/>
    <s v="10 to 30 mins"/>
    <n v="4"/>
  </r>
  <r>
    <s v="Call_7750"/>
    <s v="C0009"/>
    <n v="104"/>
    <s v="R03"/>
    <d v="2023-05-19T00:00:00"/>
    <n v="68"/>
    <n v="3.7"/>
    <n v="2023"/>
    <s v="Friday"/>
    <s v="1 to 2 hours"/>
    <n v="4"/>
  </r>
  <r>
    <s v="Call_7751"/>
    <s v="C0004"/>
    <n v="67"/>
    <s v="R01"/>
    <d v="2023-05-21T00:00:00"/>
    <n v="129"/>
    <n v="4.7"/>
    <n v="2023"/>
    <s v="Sunday"/>
    <s v="1 to 2 hours"/>
    <n v="5"/>
  </r>
  <r>
    <s v="Call_7752"/>
    <s v="C0012"/>
    <n v="107"/>
    <s v="R03"/>
    <d v="2023-05-21T00:00:00"/>
    <n v="115"/>
    <n v="4.9000000000000004"/>
    <n v="2023"/>
    <s v="Sunday"/>
    <s v="1 to 2 hours"/>
    <n v="5"/>
  </r>
  <r>
    <s v="Call_7753"/>
    <s v="C0012"/>
    <n v="93"/>
    <s v="R03"/>
    <d v="2023-05-21T00:00:00"/>
    <n v="128"/>
    <n v="3.9"/>
    <n v="2023"/>
    <s v="Sunday"/>
    <s v="1 to 2 hours"/>
    <n v="4"/>
  </r>
  <r>
    <s v="Call_7754"/>
    <s v="C0012"/>
    <n v="117"/>
    <s v="R01"/>
    <d v="2023-05-21T00:00:00"/>
    <n v="90"/>
    <n v="4.5"/>
    <n v="2023"/>
    <s v="Sunday"/>
    <s v="1 to 2 hours"/>
    <n v="5"/>
  </r>
  <r>
    <s v="Call_7755"/>
    <s v="C0002"/>
    <n v="76"/>
    <s v="R04"/>
    <d v="2023-05-22T00:00:00"/>
    <n v="39"/>
    <n v="4.5999999999999996"/>
    <n v="2023"/>
    <s v="Monday"/>
    <s v="1 to 2 hours"/>
    <n v="5"/>
  </r>
  <r>
    <s v="Call_7756"/>
    <s v="C0010"/>
    <n v="64"/>
    <s v="R03"/>
    <d v="2023-05-22T00:00:00"/>
    <n v="132"/>
    <n v="3.3"/>
    <n v="2023"/>
    <s v="Monday"/>
    <s v="1 to 2 hours"/>
    <n v="3"/>
  </r>
  <r>
    <s v="Call_7757"/>
    <s v="C0011"/>
    <n v="33"/>
    <s v="R03"/>
    <d v="2023-05-22T00:00:00"/>
    <n v="170"/>
    <n v="3.8"/>
    <n v="2023"/>
    <s v="Monday"/>
    <s v="30 to 60 mins"/>
    <n v="4"/>
  </r>
  <r>
    <s v="Call_7758"/>
    <s v="C0012"/>
    <n v="115"/>
    <s v="R01"/>
    <d v="2023-05-22T00:00:00"/>
    <n v="42"/>
    <n v="4.7"/>
    <n v="2023"/>
    <s v="Monday"/>
    <s v="1 to 2 hours"/>
    <n v="5"/>
  </r>
  <r>
    <s v="Call_7759"/>
    <s v="C0014"/>
    <n v="155"/>
    <s v="R04"/>
    <d v="2023-05-23T00:00:00"/>
    <n v="37"/>
    <n v="4"/>
    <n v="2023"/>
    <s v="Tuesday"/>
    <s v="More than 2 hours"/>
    <n v="4"/>
  </r>
  <r>
    <s v="Call_7760"/>
    <s v="C0004"/>
    <n v="117"/>
    <s v="R04"/>
    <d v="2023-05-23T00:00:00"/>
    <n v="88"/>
    <n v="4.7"/>
    <n v="2023"/>
    <s v="Tuesday"/>
    <s v="1 to 2 hours"/>
    <n v="5"/>
  </r>
  <r>
    <s v="Call_7761"/>
    <s v="C0008"/>
    <n v="63"/>
    <s v="R04"/>
    <d v="2023-05-23T00:00:00"/>
    <n v="80"/>
    <n v="2.5"/>
    <n v="2023"/>
    <s v="Tuesday"/>
    <s v="1 to 2 hours"/>
    <n v="3"/>
  </r>
  <r>
    <s v="Call_7762"/>
    <s v="C0010"/>
    <n v="59"/>
    <s v="R05"/>
    <d v="2023-05-24T00:00:00"/>
    <n v="123"/>
    <n v="3.6"/>
    <n v="2023"/>
    <s v="Wednesday"/>
    <s v="30 to 60 mins"/>
    <n v="4"/>
  </r>
  <r>
    <s v="Call_7763"/>
    <s v="C0006"/>
    <n v="133"/>
    <s v="R03"/>
    <d v="2023-05-24T00:00:00"/>
    <n v="31"/>
    <n v="3.7"/>
    <n v="2023"/>
    <s v="Wednesday"/>
    <s v="More than 2 hours"/>
    <n v="4"/>
  </r>
  <r>
    <s v="Call_7764"/>
    <s v="C0001"/>
    <n v="101"/>
    <s v="R02"/>
    <d v="2023-05-24T00:00:00"/>
    <n v="205"/>
    <n v="3.9"/>
    <n v="2023"/>
    <s v="Wednesday"/>
    <s v="1 to 2 hours"/>
    <n v="4"/>
  </r>
  <r>
    <s v="Call_7765"/>
    <s v="C0013"/>
    <n v="151"/>
    <s v="R04"/>
    <d v="2023-05-25T00:00:00"/>
    <n v="123"/>
    <n v="3.7"/>
    <n v="2023"/>
    <s v="Thursday"/>
    <s v="More than 2 hours"/>
    <n v="4"/>
  </r>
  <r>
    <s v="Call_7766"/>
    <s v="C0011"/>
    <n v="146"/>
    <s v="R03"/>
    <d v="2023-05-25T00:00:00"/>
    <n v="123"/>
    <n v="4.3"/>
    <n v="2023"/>
    <s v="Thursday"/>
    <s v="More than 2 hours"/>
    <n v="4"/>
  </r>
  <r>
    <s v="Call_7767"/>
    <s v="C0008"/>
    <n v="148"/>
    <s v="R03"/>
    <d v="2023-05-25T00:00:00"/>
    <n v="36"/>
    <n v="2.9"/>
    <n v="2023"/>
    <s v="Thursday"/>
    <s v="More than 2 hours"/>
    <n v="3"/>
  </r>
  <r>
    <s v="Call_7768"/>
    <s v="C0013"/>
    <n v="81"/>
    <s v="R03"/>
    <d v="2023-05-25T00:00:00"/>
    <n v="116"/>
    <n v="4.3"/>
    <n v="2023"/>
    <s v="Thursday"/>
    <s v="1 to 2 hours"/>
    <n v="4"/>
  </r>
  <r>
    <s v="Call_7769"/>
    <s v="C0009"/>
    <n v="115"/>
    <s v="R03"/>
    <d v="2023-05-25T00:00:00"/>
    <n v="40"/>
    <n v="4.9000000000000004"/>
    <n v="2023"/>
    <s v="Thursday"/>
    <s v="1 to 2 hours"/>
    <n v="5"/>
  </r>
  <r>
    <s v="Call_7770"/>
    <s v="C0009"/>
    <n v="117"/>
    <s v="R04"/>
    <d v="2023-05-25T00:00:00"/>
    <n v="40"/>
    <n v="4"/>
    <n v="2023"/>
    <s v="Thursday"/>
    <s v="1 to 2 hours"/>
    <n v="4"/>
  </r>
  <r>
    <s v="Call_7771"/>
    <s v="C0001"/>
    <n v="110"/>
    <s v="R01"/>
    <d v="2023-05-26T00:00:00"/>
    <n v="82"/>
    <n v="4"/>
    <n v="2023"/>
    <s v="Friday"/>
    <s v="1 to 2 hours"/>
    <n v="4"/>
  </r>
  <r>
    <s v="Call_7772"/>
    <s v="C0002"/>
    <n v="103"/>
    <s v="R05"/>
    <d v="2023-05-26T00:00:00"/>
    <n v="62"/>
    <n v="3.4"/>
    <n v="2023"/>
    <s v="Friday"/>
    <s v="1 to 2 hours"/>
    <n v="3"/>
  </r>
  <r>
    <s v="Call_7773"/>
    <s v="C0014"/>
    <n v="45"/>
    <s v="R05"/>
    <d v="2023-05-26T00:00:00"/>
    <n v="135"/>
    <n v="3.9"/>
    <n v="2023"/>
    <s v="Friday"/>
    <s v="30 to 60 mins"/>
    <n v="4"/>
  </r>
  <r>
    <s v="Call_7774"/>
    <s v="C0001"/>
    <n v="110"/>
    <s v="R02"/>
    <d v="2023-05-26T00:00:00"/>
    <n v="155"/>
    <n v="2.1"/>
    <n v="2023"/>
    <s v="Friday"/>
    <s v="1 to 2 hours"/>
    <n v="2"/>
  </r>
  <r>
    <s v="Call_7775"/>
    <s v="C0010"/>
    <n v="43"/>
    <s v="R01"/>
    <d v="2023-05-26T00:00:00"/>
    <n v="37"/>
    <n v="4.9000000000000004"/>
    <n v="2023"/>
    <s v="Friday"/>
    <s v="30 to 60 mins"/>
    <n v="5"/>
  </r>
  <r>
    <s v="Call_7776"/>
    <s v="C0001"/>
    <n v="104"/>
    <s v="R04"/>
    <d v="2023-05-27T00:00:00"/>
    <n v="56"/>
    <n v="3.4"/>
    <n v="2023"/>
    <s v="Saturday"/>
    <s v="1 to 2 hours"/>
    <n v="3"/>
  </r>
  <r>
    <s v="Call_7777"/>
    <s v="C0001"/>
    <n v="101"/>
    <s v="R04"/>
    <d v="2023-05-27T00:00:00"/>
    <n v="185"/>
    <n v="5"/>
    <n v="2023"/>
    <s v="Saturday"/>
    <s v="1 to 2 hours"/>
    <n v="5"/>
  </r>
  <r>
    <s v="Call_7778"/>
    <s v="C0003"/>
    <n v="55"/>
    <s v="R01"/>
    <d v="2023-05-28T00:00:00"/>
    <n v="145"/>
    <n v="4.5"/>
    <n v="2023"/>
    <s v="Sunday"/>
    <s v="30 to 60 mins"/>
    <n v="5"/>
  </r>
  <r>
    <s v="Call_7779"/>
    <s v="C0013"/>
    <n v="40"/>
    <s v="R05"/>
    <d v="2023-05-28T00:00:00"/>
    <n v="116"/>
    <n v="2.6"/>
    <n v="2023"/>
    <s v="Sunday"/>
    <s v="30 to 60 mins"/>
    <n v="3"/>
  </r>
  <r>
    <s v="Call_7780"/>
    <s v="C0010"/>
    <n v="122"/>
    <s v="R03"/>
    <d v="2023-05-28T00:00:00"/>
    <n v="45"/>
    <n v="4.2"/>
    <n v="2023"/>
    <s v="Sunday"/>
    <s v="More than 2 hours"/>
    <n v="4"/>
  </r>
  <r>
    <s v="Call_7781"/>
    <s v="C0011"/>
    <n v="98"/>
    <s v="R04"/>
    <d v="2023-05-29T00:00:00"/>
    <n v="35"/>
    <n v="4.5"/>
    <n v="2023"/>
    <s v="Monday"/>
    <s v="1 to 2 hours"/>
    <n v="5"/>
  </r>
  <r>
    <s v="Call_7782"/>
    <s v="C0009"/>
    <n v="110"/>
    <s v="R05"/>
    <d v="2023-05-29T00:00:00"/>
    <n v="100"/>
    <n v="4.4000000000000004"/>
    <n v="2023"/>
    <s v="Monday"/>
    <s v="1 to 2 hours"/>
    <n v="4"/>
  </r>
  <r>
    <s v="Call_7783"/>
    <s v="C0009"/>
    <n v="62"/>
    <s v="R01"/>
    <d v="2023-05-30T00:00:00"/>
    <n v="125"/>
    <n v="3.5"/>
    <n v="2023"/>
    <s v="Tuesday"/>
    <s v="1 to 2 hours"/>
    <n v="4"/>
  </r>
  <r>
    <s v="Call_7784"/>
    <s v="C0010"/>
    <n v="134"/>
    <s v="R03"/>
    <d v="2023-05-30T00:00:00"/>
    <n v="120"/>
    <n v="3"/>
    <n v="2023"/>
    <s v="Tuesday"/>
    <s v="More than 2 hours"/>
    <n v="3"/>
  </r>
  <r>
    <s v="Call_7785"/>
    <s v="C0015"/>
    <n v="94"/>
    <s v="R02"/>
    <d v="2023-05-30T00:00:00"/>
    <n v="180"/>
    <n v="4.7"/>
    <n v="2023"/>
    <s v="Tuesday"/>
    <s v="1 to 2 hours"/>
    <n v="5"/>
  </r>
  <r>
    <s v="Call_7786"/>
    <s v="C0007"/>
    <n v="63"/>
    <s v="R05"/>
    <d v="2023-05-30T00:00:00"/>
    <n v="44"/>
    <n v="3"/>
    <n v="2023"/>
    <s v="Tuesday"/>
    <s v="1 to 2 hours"/>
    <n v="3"/>
  </r>
  <r>
    <s v="Call_7787"/>
    <s v="C0006"/>
    <n v="95"/>
    <s v="R03"/>
    <d v="2023-05-30T00:00:00"/>
    <n v="86"/>
    <n v="3.6"/>
    <n v="2023"/>
    <s v="Tuesday"/>
    <s v="1 to 2 hours"/>
    <n v="4"/>
  </r>
  <r>
    <s v="Call_7788"/>
    <s v="C0010"/>
    <n v="106"/>
    <s v="R03"/>
    <d v="2023-05-31T00:00:00"/>
    <n v="120"/>
    <n v="4.0999999999999996"/>
    <n v="2023"/>
    <s v="Wednesday"/>
    <s v="1 to 2 hours"/>
    <n v="4"/>
  </r>
  <r>
    <s v="Call_7789"/>
    <s v="C0014"/>
    <n v="94"/>
    <s v="R02"/>
    <d v="2023-05-31T00:00:00"/>
    <n v="100"/>
    <n v="3.7"/>
    <n v="2023"/>
    <s v="Wednesday"/>
    <s v="1 to 2 hours"/>
    <n v="4"/>
  </r>
  <r>
    <s v="Call_7790"/>
    <s v="C0014"/>
    <n v="51"/>
    <s v="R02"/>
    <d v="2023-06-01T00:00:00"/>
    <n v="108"/>
    <n v="4.5"/>
    <n v="2023"/>
    <s v="Thursday"/>
    <s v="30 to 60 mins"/>
    <n v="5"/>
  </r>
  <r>
    <s v="Call_7791"/>
    <s v="C0008"/>
    <n v="39"/>
    <s v="R02"/>
    <d v="2023-06-01T00:00:00"/>
    <n v="46"/>
    <n v="4.5999999999999996"/>
    <n v="2023"/>
    <s v="Thursday"/>
    <s v="30 to 60 mins"/>
    <n v="5"/>
  </r>
  <r>
    <s v="Call_7792"/>
    <s v="C0013"/>
    <n v="111"/>
    <s v="R03"/>
    <d v="2023-06-01T00:00:00"/>
    <n v="210"/>
    <n v="4.3"/>
    <n v="2023"/>
    <s v="Thursday"/>
    <s v="1 to 2 hours"/>
    <n v="4"/>
  </r>
  <r>
    <s v="Call_7793"/>
    <s v="C0012"/>
    <n v="141"/>
    <s v="R01"/>
    <d v="2023-06-03T00:00:00"/>
    <n v="54"/>
    <n v="4.8"/>
    <n v="2023"/>
    <s v="Saturday"/>
    <s v="More than 2 hours"/>
    <n v="5"/>
  </r>
  <r>
    <s v="Call_7794"/>
    <s v="C0007"/>
    <n v="147"/>
    <s v="R03"/>
    <d v="2023-06-03T00:00:00"/>
    <n v="115"/>
    <n v="4.7"/>
    <n v="2023"/>
    <s v="Saturday"/>
    <s v="More than 2 hours"/>
    <n v="5"/>
  </r>
  <r>
    <s v="Call_7795"/>
    <s v="C0015"/>
    <n v="49"/>
    <s v="R02"/>
    <d v="2023-06-04T00:00:00"/>
    <n v="100"/>
    <n v="2.2000000000000002"/>
    <n v="2023"/>
    <s v="Sunday"/>
    <s v="30 to 60 mins"/>
    <n v="2"/>
  </r>
  <r>
    <s v="Call_7796"/>
    <s v="C0005"/>
    <n v="75"/>
    <s v="R03"/>
    <d v="2023-06-04T00:00:00"/>
    <n v="38"/>
    <n v="4.4000000000000004"/>
    <n v="2023"/>
    <s v="Sunday"/>
    <s v="1 to 2 hours"/>
    <n v="4"/>
  </r>
  <r>
    <s v="Call_7797"/>
    <s v="C0012"/>
    <n v="48"/>
    <s v="R01"/>
    <d v="2023-06-05T00:00:00"/>
    <n v="120"/>
    <n v="4.0999999999999996"/>
    <n v="2023"/>
    <s v="Monday"/>
    <s v="30 to 60 mins"/>
    <n v="4"/>
  </r>
  <r>
    <s v="Call_7798"/>
    <s v="C0009"/>
    <n v="48"/>
    <s v="R01"/>
    <d v="2023-06-05T00:00:00"/>
    <n v="120"/>
    <n v="4.0999999999999996"/>
    <n v="2023"/>
    <s v="Monday"/>
    <s v="30 to 60 mins"/>
    <n v="4"/>
  </r>
  <r>
    <s v="Call_7799"/>
    <s v="C0004"/>
    <n v="138"/>
    <s v="R02"/>
    <d v="2023-06-05T00:00:00"/>
    <n v="29"/>
    <n v="4.4000000000000004"/>
    <n v="2023"/>
    <s v="Monday"/>
    <s v="More than 2 hours"/>
    <n v="4"/>
  </r>
  <r>
    <s v="Call_7800"/>
    <s v="C0006"/>
    <n v="144"/>
    <s v="R02"/>
    <d v="2023-06-06T00:00:00"/>
    <n v="25"/>
    <n v="3.7"/>
    <n v="2023"/>
    <s v="Tuesday"/>
    <s v="More than 2 hours"/>
    <n v="4"/>
  </r>
  <r>
    <s v="Call_7801"/>
    <s v="C0001"/>
    <n v="119"/>
    <s v="R03"/>
    <d v="2023-06-07T00:00:00"/>
    <n v="116"/>
    <n v="3.8"/>
    <n v="2023"/>
    <s v="Wednesday"/>
    <s v="1 to 2 hours"/>
    <n v="4"/>
  </r>
  <r>
    <s v="Call_7802"/>
    <s v="C0004"/>
    <n v="101"/>
    <s v="R01"/>
    <d v="2023-06-08T00:00:00"/>
    <n v="132"/>
    <n v="4.3"/>
    <n v="2023"/>
    <s v="Thursday"/>
    <s v="1 to 2 hours"/>
    <n v="4"/>
  </r>
  <r>
    <s v="Call_7803"/>
    <s v="C0006"/>
    <n v="59"/>
    <s v="R03"/>
    <d v="2023-06-09T00:00:00"/>
    <n v="90"/>
    <n v="3.5"/>
    <n v="2023"/>
    <s v="Friday"/>
    <s v="30 to 60 mins"/>
    <n v="4"/>
  </r>
  <r>
    <s v="Call_7804"/>
    <s v="C0013"/>
    <n v="125"/>
    <s v="R05"/>
    <d v="2023-06-09T00:00:00"/>
    <n v="87"/>
    <n v="4.0999999999999996"/>
    <n v="2023"/>
    <s v="Friday"/>
    <s v="More than 2 hours"/>
    <n v="4"/>
  </r>
  <r>
    <s v="Call_7805"/>
    <s v="C0010"/>
    <n v="147"/>
    <s v="R03"/>
    <d v="2023-06-09T00:00:00"/>
    <n v="140"/>
    <n v="4.2"/>
    <n v="2023"/>
    <s v="Friday"/>
    <s v="More than 2 hours"/>
    <n v="4"/>
  </r>
  <r>
    <s v="Call_7806"/>
    <s v="C0002"/>
    <n v="76"/>
    <s v="R03"/>
    <d v="2023-06-09T00:00:00"/>
    <n v="164"/>
    <n v="4.5"/>
    <n v="2023"/>
    <s v="Friday"/>
    <s v="1 to 2 hours"/>
    <n v="5"/>
  </r>
  <r>
    <s v="Call_7807"/>
    <s v="C0007"/>
    <n v="99"/>
    <s v="R01"/>
    <d v="2023-06-10T00:00:00"/>
    <n v="180"/>
    <n v="3.8"/>
    <n v="2023"/>
    <s v="Saturday"/>
    <s v="1 to 2 hours"/>
    <n v="4"/>
  </r>
  <r>
    <s v="Call_7808"/>
    <s v="C0008"/>
    <n v="111"/>
    <s v="R04"/>
    <d v="2023-06-11T00:00:00"/>
    <n v="22"/>
    <n v="4.0999999999999996"/>
    <n v="2023"/>
    <s v="Sunday"/>
    <s v="1 to 2 hours"/>
    <n v="4"/>
  </r>
  <r>
    <s v="Call_7809"/>
    <s v="C0011"/>
    <n v="147"/>
    <s v="R05"/>
    <d v="2023-06-11T00:00:00"/>
    <n v="82"/>
    <n v="4.4000000000000004"/>
    <n v="2023"/>
    <s v="Sunday"/>
    <s v="More than 2 hours"/>
    <n v="4"/>
  </r>
  <r>
    <s v="Call_7810"/>
    <s v="C0003"/>
    <n v="141"/>
    <s v="R01"/>
    <d v="2023-06-11T00:00:00"/>
    <n v="100"/>
    <n v="4.5999999999999996"/>
    <n v="2023"/>
    <s v="Sunday"/>
    <s v="More than 2 hours"/>
    <n v="5"/>
  </r>
  <r>
    <s v="Call_7811"/>
    <s v="C0002"/>
    <n v="71"/>
    <s v="R03"/>
    <d v="2023-06-12T00:00:00"/>
    <n v="52"/>
    <n v="3.4"/>
    <n v="2023"/>
    <s v="Monday"/>
    <s v="1 to 2 hours"/>
    <n v="3"/>
  </r>
  <r>
    <s v="Call_7812"/>
    <s v="C0002"/>
    <n v="121"/>
    <s v="R05"/>
    <d v="2023-06-13T00:00:00"/>
    <n v="84"/>
    <n v="4.5999999999999996"/>
    <n v="2023"/>
    <s v="Tuesday"/>
    <s v="More than 2 hours"/>
    <n v="5"/>
  </r>
  <r>
    <s v="Call_7813"/>
    <s v="C0002"/>
    <n v="60"/>
    <s v="R05"/>
    <d v="2023-06-13T00:00:00"/>
    <n v="37"/>
    <n v="3.9"/>
    <n v="2023"/>
    <s v="Tuesday"/>
    <s v="30 to 60 mins"/>
    <n v="4"/>
  </r>
  <r>
    <s v="Call_7814"/>
    <s v="C0015"/>
    <n v="158"/>
    <s v="R01"/>
    <d v="2023-06-14T00:00:00"/>
    <n v="190"/>
    <n v="4"/>
    <n v="2023"/>
    <s v="Wednesday"/>
    <s v="More than 2 hours"/>
    <n v="4"/>
  </r>
  <r>
    <s v="Call_7815"/>
    <s v="C0010"/>
    <n v="159"/>
    <s v="R02"/>
    <d v="2023-06-14T00:00:00"/>
    <n v="66"/>
    <n v="3.4"/>
    <n v="2023"/>
    <s v="Wednesday"/>
    <s v="More than 2 hours"/>
    <n v="3"/>
  </r>
  <r>
    <s v="Call_7816"/>
    <s v="C0004"/>
    <n v="70"/>
    <s v="R03"/>
    <d v="2023-06-15T00:00:00"/>
    <n v="116"/>
    <n v="3.2"/>
    <n v="2023"/>
    <s v="Thursday"/>
    <s v="1 to 2 hours"/>
    <n v="3"/>
  </r>
  <r>
    <s v="Call_7817"/>
    <s v="C0012"/>
    <n v="78"/>
    <s v="R04"/>
    <d v="2023-06-15T00:00:00"/>
    <n v="28"/>
    <n v="3.9"/>
    <n v="2023"/>
    <s v="Thursday"/>
    <s v="1 to 2 hours"/>
    <n v="4"/>
  </r>
  <r>
    <s v="Call_7818"/>
    <s v="C0011"/>
    <n v="103"/>
    <s v="R03"/>
    <d v="2023-06-15T00:00:00"/>
    <n v="120"/>
    <n v="5"/>
    <n v="2023"/>
    <s v="Thursday"/>
    <s v="1 to 2 hours"/>
    <n v="5"/>
  </r>
  <r>
    <s v="Call_7819"/>
    <s v="C0005"/>
    <n v="108"/>
    <s v="R01"/>
    <d v="2023-06-15T00:00:00"/>
    <n v="56"/>
    <n v="3.5"/>
    <n v="2023"/>
    <s v="Thursday"/>
    <s v="1 to 2 hours"/>
    <n v="4"/>
  </r>
  <r>
    <s v="Call_7820"/>
    <s v="C0005"/>
    <n v="44"/>
    <s v="R05"/>
    <d v="2023-06-15T00:00:00"/>
    <n v="170"/>
    <n v="3.8"/>
    <n v="2023"/>
    <s v="Thursday"/>
    <s v="30 to 60 mins"/>
    <n v="4"/>
  </r>
  <r>
    <s v="Call_7821"/>
    <s v="C0012"/>
    <n v="127"/>
    <s v="R01"/>
    <d v="2023-06-16T00:00:00"/>
    <n v="200"/>
    <n v="4.8"/>
    <n v="2023"/>
    <s v="Friday"/>
    <s v="More than 2 hours"/>
    <n v="5"/>
  </r>
  <r>
    <s v="Call_7822"/>
    <s v="C0011"/>
    <n v="132"/>
    <s v="R03"/>
    <d v="2023-06-17T00:00:00"/>
    <n v="50"/>
    <n v="4.2"/>
    <n v="2023"/>
    <s v="Saturday"/>
    <s v="More than 2 hours"/>
    <n v="4"/>
  </r>
  <r>
    <s v="Call_7823"/>
    <s v="C0003"/>
    <n v="106"/>
    <s v="R04"/>
    <d v="2023-06-17T00:00:00"/>
    <n v="112"/>
    <n v="3.7"/>
    <n v="2023"/>
    <s v="Saturday"/>
    <s v="1 to 2 hours"/>
    <n v="4"/>
  </r>
  <r>
    <s v="Call_7824"/>
    <s v="C0008"/>
    <n v="107"/>
    <s v="R03"/>
    <d v="2023-06-18T00:00:00"/>
    <n v="39"/>
    <n v="4.8"/>
    <n v="2023"/>
    <s v="Sunday"/>
    <s v="1 to 2 hours"/>
    <n v="5"/>
  </r>
  <r>
    <s v="Call_7825"/>
    <s v="C0010"/>
    <n v="85"/>
    <s v="R04"/>
    <d v="2023-06-18T00:00:00"/>
    <n v="38"/>
    <n v="4.8"/>
    <n v="2023"/>
    <s v="Sunday"/>
    <s v="1 to 2 hours"/>
    <n v="5"/>
  </r>
  <r>
    <s v="Call_7826"/>
    <s v="C0007"/>
    <n v="49"/>
    <s v="R03"/>
    <d v="2023-06-19T00:00:00"/>
    <n v="84"/>
    <n v="2.9"/>
    <n v="2023"/>
    <s v="Monday"/>
    <s v="30 to 60 mins"/>
    <n v="3"/>
  </r>
  <r>
    <s v="Call_7827"/>
    <s v="C0002"/>
    <n v="117"/>
    <s v="R01"/>
    <d v="2023-06-20T00:00:00"/>
    <n v="82"/>
    <n v="3.5"/>
    <n v="2023"/>
    <s v="Tuesday"/>
    <s v="1 to 2 hours"/>
    <n v="4"/>
  </r>
  <r>
    <s v="Call_7828"/>
    <s v="C0008"/>
    <n v="136"/>
    <s v="R04"/>
    <d v="2023-06-20T00:00:00"/>
    <n v="37"/>
    <n v="0.9"/>
    <n v="2023"/>
    <s v="Tuesday"/>
    <s v="More than 2 hours"/>
    <n v="1"/>
  </r>
  <r>
    <s v="Call_7829"/>
    <s v="C0005"/>
    <n v="130"/>
    <s v="R02"/>
    <d v="2023-06-21T00:00:00"/>
    <n v="87"/>
    <n v="3.4"/>
    <n v="2023"/>
    <s v="Wednesday"/>
    <s v="More than 2 hours"/>
    <n v="3"/>
  </r>
  <r>
    <s v="Call_7830"/>
    <s v="C0005"/>
    <n v="73"/>
    <s v="R02"/>
    <d v="2023-06-21T00:00:00"/>
    <n v="75"/>
    <n v="2.7"/>
    <n v="2023"/>
    <s v="Wednesday"/>
    <s v="1 to 2 hours"/>
    <n v="3"/>
  </r>
  <r>
    <s v="Call_7831"/>
    <s v="C0007"/>
    <n v="80"/>
    <s v="R03"/>
    <d v="2023-06-21T00:00:00"/>
    <n v="32"/>
    <n v="4.7"/>
    <n v="2023"/>
    <s v="Wednesday"/>
    <s v="1 to 2 hours"/>
    <n v="5"/>
  </r>
  <r>
    <s v="Call_7832"/>
    <s v="C0001"/>
    <n v="44"/>
    <s v="R01"/>
    <d v="2023-06-21T00:00:00"/>
    <n v="33"/>
    <n v="3"/>
    <n v="2023"/>
    <s v="Wednesday"/>
    <s v="30 to 60 mins"/>
    <n v="3"/>
  </r>
  <r>
    <s v="Call_7833"/>
    <s v="C0001"/>
    <n v="102"/>
    <s v="R05"/>
    <d v="2023-06-21T00:00:00"/>
    <n v="76"/>
    <n v="4.2"/>
    <n v="2023"/>
    <s v="Wednesday"/>
    <s v="1 to 2 hours"/>
    <n v="4"/>
  </r>
  <r>
    <s v="Call_7834"/>
    <s v="C0015"/>
    <n v="74"/>
    <s v="R05"/>
    <d v="2023-06-21T00:00:00"/>
    <n v="117"/>
    <n v="4.8"/>
    <n v="2023"/>
    <s v="Wednesday"/>
    <s v="1 to 2 hours"/>
    <n v="5"/>
  </r>
  <r>
    <s v="Call_7835"/>
    <s v="C0007"/>
    <n v="52"/>
    <s v="R01"/>
    <d v="2023-06-23T00:00:00"/>
    <n v="70"/>
    <n v="4.0999999999999996"/>
    <n v="2023"/>
    <s v="Friday"/>
    <s v="30 to 60 mins"/>
    <n v="4"/>
  </r>
  <r>
    <s v="Call_7836"/>
    <s v="C0007"/>
    <n v="74"/>
    <s v="R02"/>
    <d v="2023-06-23T00:00:00"/>
    <n v="37"/>
    <n v="2.7"/>
    <n v="2023"/>
    <s v="Friday"/>
    <s v="1 to 2 hours"/>
    <n v="3"/>
  </r>
  <r>
    <s v="Call_7837"/>
    <s v="C0005"/>
    <n v="96"/>
    <s v="R05"/>
    <d v="2023-06-23T00:00:00"/>
    <n v="46"/>
    <n v="2.9"/>
    <n v="2023"/>
    <s v="Friday"/>
    <s v="1 to 2 hours"/>
    <n v="3"/>
  </r>
  <r>
    <s v="Call_7838"/>
    <s v="C0013"/>
    <n v="104"/>
    <s v="R03"/>
    <d v="2023-06-23T00:00:00"/>
    <n v="136"/>
    <n v="5"/>
    <n v="2023"/>
    <s v="Friday"/>
    <s v="1 to 2 hours"/>
    <n v="5"/>
  </r>
  <r>
    <s v="Call_7839"/>
    <s v="C0005"/>
    <n v="123"/>
    <s v="R05"/>
    <d v="2023-06-24T00:00:00"/>
    <n v="44"/>
    <n v="4.5999999999999996"/>
    <n v="2023"/>
    <s v="Saturday"/>
    <s v="More than 2 hours"/>
    <n v="5"/>
  </r>
  <r>
    <s v="Call_7840"/>
    <s v="C0009"/>
    <n v="100"/>
    <s v="R04"/>
    <d v="2023-06-24T00:00:00"/>
    <n v="69"/>
    <n v="3"/>
    <n v="2023"/>
    <s v="Saturday"/>
    <s v="1 to 2 hours"/>
    <n v="3"/>
  </r>
  <r>
    <s v="Call_7841"/>
    <s v="C0013"/>
    <n v="35"/>
    <s v="R01"/>
    <d v="2023-06-25T00:00:00"/>
    <n v="86"/>
    <n v="4.5999999999999996"/>
    <n v="2023"/>
    <s v="Sunday"/>
    <s v="30 to 60 mins"/>
    <n v="5"/>
  </r>
  <r>
    <s v="Call_7842"/>
    <s v="C0007"/>
    <n v="123"/>
    <s v="R03"/>
    <d v="2023-06-25T00:00:00"/>
    <n v="68"/>
    <n v="4.5"/>
    <n v="2023"/>
    <s v="Sunday"/>
    <s v="More than 2 hours"/>
    <n v="5"/>
  </r>
  <r>
    <s v="Call_7843"/>
    <s v="C0002"/>
    <n v="133"/>
    <s v="R01"/>
    <d v="2023-06-26T00:00:00"/>
    <n v="21"/>
    <n v="3.7"/>
    <n v="2023"/>
    <s v="Monday"/>
    <s v="More than 2 hours"/>
    <n v="4"/>
  </r>
  <r>
    <s v="Call_7844"/>
    <s v="C0005"/>
    <n v="126"/>
    <s v="R02"/>
    <d v="2023-06-26T00:00:00"/>
    <n v="190"/>
    <n v="2.4"/>
    <n v="2023"/>
    <s v="Monday"/>
    <s v="More than 2 hours"/>
    <n v="2"/>
  </r>
  <r>
    <s v="Call_7845"/>
    <s v="C0007"/>
    <n v="39"/>
    <s v="R05"/>
    <d v="2023-06-26T00:00:00"/>
    <n v="176"/>
    <n v="4.3"/>
    <n v="2023"/>
    <s v="Monday"/>
    <s v="30 to 60 mins"/>
    <n v="4"/>
  </r>
  <r>
    <s v="Call_7846"/>
    <s v="C0015"/>
    <n v="31"/>
    <s v="R03"/>
    <d v="2023-06-26T00:00:00"/>
    <n v="172"/>
    <n v="3.9"/>
    <n v="2023"/>
    <s v="Monday"/>
    <s v="30 to 60 mins"/>
    <n v="4"/>
  </r>
  <r>
    <s v="Call_7847"/>
    <s v="C0011"/>
    <n v="25"/>
    <s v="R01"/>
    <d v="2023-06-26T00:00:00"/>
    <n v="84"/>
    <n v="4.5"/>
    <n v="2023"/>
    <s v="Monday"/>
    <s v="10 to 30 mins"/>
    <n v="5"/>
  </r>
  <r>
    <s v="Call_7848"/>
    <s v="C0004"/>
    <n v="132"/>
    <s v="R04"/>
    <d v="2023-06-27T00:00:00"/>
    <n v="42"/>
    <n v="5"/>
    <n v="2023"/>
    <s v="Tuesday"/>
    <s v="More than 2 hours"/>
    <n v="5"/>
  </r>
  <r>
    <s v="Call_7849"/>
    <s v="C0013"/>
    <n v="63"/>
    <s v="R02"/>
    <d v="2023-06-27T00:00:00"/>
    <n v="70"/>
    <n v="1.6"/>
    <n v="2023"/>
    <s v="Tuesday"/>
    <s v="1 to 2 hours"/>
    <n v="2"/>
  </r>
  <r>
    <s v="Call_7850"/>
    <s v="C0009"/>
    <n v="135"/>
    <s v="R04"/>
    <d v="2023-06-27T00:00:00"/>
    <n v="60"/>
    <n v="4.3"/>
    <n v="2023"/>
    <s v="Tuesday"/>
    <s v="More than 2 hours"/>
    <n v="4"/>
  </r>
  <r>
    <s v="Call_7851"/>
    <s v="C0010"/>
    <n v="101"/>
    <s v="R02"/>
    <d v="2023-06-27T00:00:00"/>
    <n v="84"/>
    <n v="3.5"/>
    <n v="2023"/>
    <s v="Tuesday"/>
    <s v="1 to 2 hours"/>
    <n v="4"/>
  </r>
  <r>
    <s v="Call_7852"/>
    <s v="C0002"/>
    <n v="80"/>
    <s v="R05"/>
    <d v="2023-06-28T00:00:00"/>
    <n v="68"/>
    <n v="3.1"/>
    <n v="2023"/>
    <s v="Wednesday"/>
    <s v="1 to 2 hours"/>
    <n v="3"/>
  </r>
  <r>
    <s v="Call_7853"/>
    <s v="C0001"/>
    <n v="28"/>
    <s v="R05"/>
    <d v="2023-06-28T00:00:00"/>
    <n v="44"/>
    <n v="2.9"/>
    <n v="2023"/>
    <s v="Wednesday"/>
    <s v="10 to 30 mins"/>
    <n v="3"/>
  </r>
  <r>
    <s v="Call_7854"/>
    <s v="C0010"/>
    <n v="102"/>
    <s v="R04"/>
    <d v="2023-06-29T00:00:00"/>
    <n v="99"/>
    <n v="3.2"/>
    <n v="2023"/>
    <s v="Thursday"/>
    <s v="1 to 2 hours"/>
    <n v="3"/>
  </r>
  <r>
    <s v="Call_7855"/>
    <s v="C0013"/>
    <n v="60"/>
    <s v="R04"/>
    <d v="2023-06-30T00:00:00"/>
    <n v="66"/>
    <n v="3.2"/>
    <n v="2023"/>
    <s v="Friday"/>
    <s v="30 to 60 mins"/>
    <n v="3"/>
  </r>
  <r>
    <s v="Call_7856"/>
    <s v="C0014"/>
    <n v="103"/>
    <s v="R04"/>
    <d v="2023-06-30T00:00:00"/>
    <n v="102"/>
    <n v="4.5"/>
    <n v="2023"/>
    <s v="Friday"/>
    <s v="1 to 2 hours"/>
    <n v="5"/>
  </r>
  <r>
    <s v="Call_7857"/>
    <s v="C0002"/>
    <n v="90"/>
    <s v="R05"/>
    <d v="2023-07-01T00:00:00"/>
    <n v="129"/>
    <n v="3.9"/>
    <n v="2024"/>
    <s v="Saturday"/>
    <s v="1 to 2 hours"/>
    <n v="4"/>
  </r>
  <r>
    <s v="Call_7858"/>
    <s v="C0012"/>
    <n v="88"/>
    <s v="R04"/>
    <d v="2023-07-01T00:00:00"/>
    <n v="80"/>
    <n v="4.2"/>
    <n v="2024"/>
    <s v="Saturday"/>
    <s v="1 to 2 hours"/>
    <n v="4"/>
  </r>
  <r>
    <s v="Call_7859"/>
    <s v="C0014"/>
    <n v="37"/>
    <s v="R04"/>
    <d v="2023-07-01T00:00:00"/>
    <n v="54"/>
    <n v="1.8"/>
    <n v="2024"/>
    <s v="Saturday"/>
    <s v="30 to 60 mins"/>
    <n v="2"/>
  </r>
  <r>
    <s v="Call_7860"/>
    <s v="C0001"/>
    <n v="142"/>
    <s v="R05"/>
    <d v="2023-07-01T00:00:00"/>
    <n v="116"/>
    <n v="4.2"/>
    <n v="2024"/>
    <s v="Saturday"/>
    <s v="More than 2 hours"/>
    <n v="4"/>
  </r>
  <r>
    <s v="Call_7861"/>
    <s v="C0001"/>
    <n v="153"/>
    <s v="R01"/>
    <d v="2023-07-01T00:00:00"/>
    <n v="102"/>
    <n v="3.1"/>
    <n v="2024"/>
    <s v="Saturday"/>
    <s v="More than 2 hours"/>
    <n v="3"/>
  </r>
  <r>
    <s v="Call_7862"/>
    <s v="C0006"/>
    <n v="128"/>
    <s v="R02"/>
    <d v="2023-07-01T00:00:00"/>
    <n v="140"/>
    <n v="4.3"/>
    <n v="2024"/>
    <s v="Saturday"/>
    <s v="More than 2 hours"/>
    <n v="4"/>
  </r>
  <r>
    <s v="Call_7863"/>
    <s v="C0013"/>
    <n v="110"/>
    <s v="R02"/>
    <d v="2023-07-02T00:00:00"/>
    <n v="104"/>
    <n v="4.4000000000000004"/>
    <n v="2024"/>
    <s v="Sunday"/>
    <s v="1 to 2 hours"/>
    <n v="4"/>
  </r>
  <r>
    <s v="Call_7864"/>
    <s v="C0006"/>
    <n v="139"/>
    <s v="R04"/>
    <d v="2023-07-02T00:00:00"/>
    <n v="81"/>
    <n v="4.4000000000000004"/>
    <n v="2024"/>
    <s v="Sunday"/>
    <s v="More than 2 hours"/>
    <n v="4"/>
  </r>
  <r>
    <s v="Call_7865"/>
    <s v="C0010"/>
    <n v="109"/>
    <s v="R03"/>
    <d v="2023-07-04T00:00:00"/>
    <n v="140"/>
    <n v="2.4"/>
    <n v="2024"/>
    <s v="Tuesday"/>
    <s v="1 to 2 hours"/>
    <n v="2"/>
  </r>
  <r>
    <s v="Call_7866"/>
    <s v="C0004"/>
    <n v="57"/>
    <s v="R05"/>
    <d v="2023-07-05T00:00:00"/>
    <n v="120"/>
    <n v="3.5"/>
    <n v="2024"/>
    <s v="Wednesday"/>
    <s v="30 to 60 mins"/>
    <n v="4"/>
  </r>
  <r>
    <s v="Call_7867"/>
    <s v="C0010"/>
    <n v="68"/>
    <s v="R04"/>
    <d v="2023-07-05T00:00:00"/>
    <n v="41"/>
    <n v="3.1"/>
    <n v="2024"/>
    <s v="Wednesday"/>
    <s v="1 to 2 hours"/>
    <n v="3"/>
  </r>
  <r>
    <s v="Call_7868"/>
    <s v="C0011"/>
    <n v="128"/>
    <s v="R04"/>
    <d v="2023-07-05T00:00:00"/>
    <n v="116"/>
    <n v="2.2999999999999998"/>
    <n v="2024"/>
    <s v="Wednesday"/>
    <s v="More than 2 hours"/>
    <n v="2"/>
  </r>
  <r>
    <s v="Call_7869"/>
    <s v="C0003"/>
    <n v="102"/>
    <s v="R05"/>
    <d v="2023-07-06T00:00:00"/>
    <n v="70"/>
    <n v="2.8"/>
    <n v="2024"/>
    <s v="Thursday"/>
    <s v="1 to 2 hours"/>
    <n v="3"/>
  </r>
  <r>
    <s v="Call_7870"/>
    <s v="C0006"/>
    <n v="52"/>
    <s v="R01"/>
    <d v="2023-07-06T00:00:00"/>
    <n v="42"/>
    <n v="4.5"/>
    <n v="2024"/>
    <s v="Thursday"/>
    <s v="30 to 60 mins"/>
    <n v="5"/>
  </r>
  <r>
    <s v="Call_7871"/>
    <s v="C0011"/>
    <n v="55"/>
    <s v="R02"/>
    <d v="2023-07-07T00:00:00"/>
    <n v="112"/>
    <n v="4.5"/>
    <n v="2024"/>
    <s v="Friday"/>
    <s v="30 to 60 mins"/>
    <n v="5"/>
  </r>
  <r>
    <s v="Call_7872"/>
    <s v="C0014"/>
    <n v="107"/>
    <s v="R04"/>
    <d v="2023-07-07T00:00:00"/>
    <n v="20"/>
    <n v="4.5"/>
    <n v="2024"/>
    <s v="Friday"/>
    <s v="1 to 2 hours"/>
    <n v="5"/>
  </r>
  <r>
    <s v="Call_7873"/>
    <s v="C0002"/>
    <n v="88"/>
    <s v="R01"/>
    <d v="2023-07-08T00:00:00"/>
    <n v="110"/>
    <n v="4.8"/>
    <n v="2024"/>
    <s v="Saturday"/>
    <s v="1 to 2 hours"/>
    <n v="5"/>
  </r>
  <r>
    <s v="Call_7874"/>
    <s v="C0007"/>
    <n v="49"/>
    <s v="R01"/>
    <d v="2023-07-08T00:00:00"/>
    <n v="39"/>
    <n v="4.5999999999999996"/>
    <n v="2024"/>
    <s v="Saturday"/>
    <s v="30 to 60 mins"/>
    <n v="5"/>
  </r>
  <r>
    <s v="Call_7875"/>
    <s v="C0002"/>
    <n v="72"/>
    <s v="R05"/>
    <d v="2023-07-08T00:00:00"/>
    <n v="76"/>
    <n v="4.5"/>
    <n v="2024"/>
    <s v="Saturday"/>
    <s v="1 to 2 hours"/>
    <n v="5"/>
  </r>
  <r>
    <s v="Call_7876"/>
    <s v="C0004"/>
    <n v="50"/>
    <s v="R05"/>
    <d v="2023-07-08T00:00:00"/>
    <n v="40"/>
    <n v="5"/>
    <n v="2024"/>
    <s v="Saturday"/>
    <s v="30 to 60 mins"/>
    <n v="5"/>
  </r>
  <r>
    <s v="Call_7877"/>
    <s v="C0002"/>
    <n v="52"/>
    <s v="R04"/>
    <d v="2023-07-08T00:00:00"/>
    <n v="42"/>
    <n v="4.8"/>
    <n v="2024"/>
    <s v="Saturday"/>
    <s v="30 to 60 mins"/>
    <n v="5"/>
  </r>
  <r>
    <s v="Call_7878"/>
    <s v="C0005"/>
    <n v="85"/>
    <s v="R03"/>
    <d v="2023-07-09T00:00:00"/>
    <n v="215"/>
    <n v="3.5"/>
    <n v="2024"/>
    <s v="Sunday"/>
    <s v="1 to 2 hours"/>
    <n v="4"/>
  </r>
  <r>
    <s v="Call_7879"/>
    <s v="C0009"/>
    <n v="98"/>
    <s v="R03"/>
    <d v="2023-07-10T00:00:00"/>
    <n v="130"/>
    <n v="3.4"/>
    <n v="2024"/>
    <s v="Monday"/>
    <s v="1 to 2 hours"/>
    <n v="3"/>
  </r>
  <r>
    <s v="Call_7880"/>
    <s v="C0015"/>
    <n v="52"/>
    <s v="R03"/>
    <d v="2023-07-10T00:00:00"/>
    <n v="190"/>
    <n v="3.3"/>
    <n v="2024"/>
    <s v="Monday"/>
    <s v="30 to 60 mins"/>
    <n v="3"/>
  </r>
  <r>
    <s v="Call_7881"/>
    <s v="C0011"/>
    <n v="154"/>
    <s v="R01"/>
    <d v="2023-07-10T00:00:00"/>
    <n v="164"/>
    <n v="4.9000000000000004"/>
    <n v="2024"/>
    <s v="Monday"/>
    <s v="More than 2 hours"/>
    <n v="5"/>
  </r>
  <r>
    <s v="Call_7882"/>
    <s v="C0008"/>
    <n v="131"/>
    <s v="R02"/>
    <d v="2023-07-11T00:00:00"/>
    <n v="76"/>
    <n v="4.5"/>
    <n v="2024"/>
    <s v="Tuesday"/>
    <s v="More than 2 hours"/>
    <n v="5"/>
  </r>
  <r>
    <s v="Call_7883"/>
    <s v="C0005"/>
    <n v="73"/>
    <s v="R02"/>
    <d v="2023-07-12T00:00:00"/>
    <n v="87"/>
    <n v="4.8"/>
    <n v="2024"/>
    <s v="Wednesday"/>
    <s v="1 to 2 hours"/>
    <n v="5"/>
  </r>
  <r>
    <s v="Call_7884"/>
    <s v="C0013"/>
    <n v="45"/>
    <s v="R03"/>
    <d v="2023-07-12T00:00:00"/>
    <n v="84"/>
    <n v="4.8"/>
    <n v="2024"/>
    <s v="Wednesday"/>
    <s v="30 to 60 mins"/>
    <n v="5"/>
  </r>
  <r>
    <s v="Call_7885"/>
    <s v="C0006"/>
    <n v="114"/>
    <s v="R04"/>
    <d v="2023-07-12T00:00:00"/>
    <n v="114"/>
    <n v="3.9"/>
    <n v="2024"/>
    <s v="Wednesday"/>
    <s v="1 to 2 hours"/>
    <n v="4"/>
  </r>
  <r>
    <s v="Call_7886"/>
    <s v="C0009"/>
    <n v="69"/>
    <s v="R02"/>
    <d v="2023-07-13T00:00:00"/>
    <n v="56"/>
    <n v="3.9"/>
    <n v="2024"/>
    <s v="Thursday"/>
    <s v="1 to 2 hours"/>
    <n v="4"/>
  </r>
  <r>
    <s v="Call_7887"/>
    <s v="C0008"/>
    <n v="33"/>
    <s v="R01"/>
    <d v="2023-07-13T00:00:00"/>
    <n v="27"/>
    <n v="3.7"/>
    <n v="2024"/>
    <s v="Thursday"/>
    <s v="30 to 60 mins"/>
    <n v="4"/>
  </r>
  <r>
    <s v="Call_7888"/>
    <s v="C0004"/>
    <n v="31"/>
    <s v="R05"/>
    <d v="2023-07-14T00:00:00"/>
    <n v="84"/>
    <n v="4.8"/>
    <n v="2024"/>
    <s v="Friday"/>
    <s v="30 to 60 mins"/>
    <n v="5"/>
  </r>
  <r>
    <s v="Call_7889"/>
    <s v="C0013"/>
    <n v="168"/>
    <s v="R01"/>
    <d v="2023-07-14T00:00:00"/>
    <n v="72"/>
    <n v="3.5"/>
    <n v="2024"/>
    <s v="Friday"/>
    <s v="More than 2 hours"/>
    <n v="4"/>
  </r>
  <r>
    <s v="Call_7890"/>
    <s v="C0005"/>
    <n v="111"/>
    <s v="R04"/>
    <d v="2023-07-15T00:00:00"/>
    <n v="126"/>
    <n v="4.2"/>
    <n v="2024"/>
    <s v="Saturday"/>
    <s v="1 to 2 hours"/>
    <n v="4"/>
  </r>
  <r>
    <s v="Call_7891"/>
    <s v="C0004"/>
    <n v="80"/>
    <s v="R01"/>
    <d v="2023-07-16T00:00:00"/>
    <n v="88"/>
    <n v="4.9000000000000004"/>
    <n v="2024"/>
    <s v="Sunday"/>
    <s v="1 to 2 hours"/>
    <n v="5"/>
  </r>
  <r>
    <s v="Call_7892"/>
    <s v="C0003"/>
    <n v="37"/>
    <s v="R01"/>
    <d v="2023-07-16T00:00:00"/>
    <n v="124"/>
    <n v="4.5999999999999996"/>
    <n v="2024"/>
    <s v="Sunday"/>
    <s v="30 to 60 mins"/>
    <n v="5"/>
  </r>
  <r>
    <s v="Call_7893"/>
    <s v="C0001"/>
    <n v="137"/>
    <s v="R01"/>
    <d v="2023-07-17T00:00:00"/>
    <n v="84"/>
    <n v="2.6"/>
    <n v="2024"/>
    <s v="Monday"/>
    <s v="More than 2 hours"/>
    <n v="3"/>
  </r>
  <r>
    <s v="Call_7894"/>
    <s v="C0009"/>
    <n v="123"/>
    <s v="R04"/>
    <d v="2023-07-17T00:00:00"/>
    <n v="80"/>
    <n v="2.7"/>
    <n v="2024"/>
    <s v="Monday"/>
    <s v="More than 2 hours"/>
    <n v="3"/>
  </r>
  <r>
    <s v="Call_7895"/>
    <s v="C0012"/>
    <n v="105"/>
    <s v="R04"/>
    <d v="2023-07-18T00:00:00"/>
    <n v="176"/>
    <n v="4.7"/>
    <n v="2024"/>
    <s v="Tuesday"/>
    <s v="1 to 2 hours"/>
    <n v="5"/>
  </r>
  <r>
    <s v="Call_7896"/>
    <s v="C0003"/>
    <n v="76"/>
    <s v="R03"/>
    <d v="2023-07-19T00:00:00"/>
    <n v="84"/>
    <n v="3.9"/>
    <n v="2024"/>
    <s v="Wednesday"/>
    <s v="1 to 2 hours"/>
    <n v="4"/>
  </r>
  <r>
    <s v="Call_7897"/>
    <s v="C0004"/>
    <n v="144"/>
    <s v="R03"/>
    <d v="2023-07-19T00:00:00"/>
    <n v="164"/>
    <n v="2.8"/>
    <n v="2024"/>
    <s v="Wednesday"/>
    <s v="More than 2 hours"/>
    <n v="3"/>
  </r>
  <r>
    <s v="Call_7898"/>
    <s v="C0008"/>
    <n v="109"/>
    <s v="R05"/>
    <d v="2023-07-19T00:00:00"/>
    <n v="132"/>
    <n v="3.1"/>
    <n v="2024"/>
    <s v="Wednesday"/>
    <s v="1 to 2 hours"/>
    <n v="3"/>
  </r>
  <r>
    <s v="Call_7899"/>
    <s v="C0009"/>
    <n v="172"/>
    <s v="R01"/>
    <d v="2023-07-20T00:00:00"/>
    <n v="27"/>
    <n v="4.2"/>
    <n v="2024"/>
    <s v="Thursday"/>
    <s v="More than 2 hours"/>
    <n v="4"/>
  </r>
  <r>
    <s v="Call_7900"/>
    <s v="C0004"/>
    <n v="56"/>
    <s v="R04"/>
    <d v="2023-07-20T00:00:00"/>
    <n v="27"/>
    <n v="4.3"/>
    <n v="2024"/>
    <s v="Thursday"/>
    <s v="30 to 60 mins"/>
    <n v="4"/>
  </r>
  <r>
    <s v="Call_7901"/>
    <s v="C0004"/>
    <n v="121"/>
    <s v="R02"/>
    <d v="2023-07-20T00:00:00"/>
    <n v="20"/>
    <n v="2.7"/>
    <n v="2024"/>
    <s v="Thursday"/>
    <s v="More than 2 hours"/>
    <n v="3"/>
  </r>
  <r>
    <s v="Call_7902"/>
    <s v="C0009"/>
    <n v="41"/>
    <s v="R04"/>
    <d v="2023-07-21T00:00:00"/>
    <n v="112"/>
    <n v="2.2999999999999998"/>
    <n v="2024"/>
    <s v="Friday"/>
    <s v="30 to 60 mins"/>
    <n v="2"/>
  </r>
  <r>
    <s v="Call_7903"/>
    <s v="C0014"/>
    <n v="60"/>
    <s v="R01"/>
    <d v="2023-07-21T00:00:00"/>
    <n v="60"/>
    <n v="2.2999999999999998"/>
    <n v="2024"/>
    <s v="Friday"/>
    <s v="30 to 60 mins"/>
    <n v="2"/>
  </r>
  <r>
    <s v="Call_7904"/>
    <s v="C0014"/>
    <n v="144"/>
    <s v="R01"/>
    <d v="2023-07-22T00:00:00"/>
    <n v="102"/>
    <n v="2.9"/>
    <n v="2024"/>
    <s v="Saturday"/>
    <s v="More than 2 hours"/>
    <n v="3"/>
  </r>
  <r>
    <s v="Call_7905"/>
    <s v="C0011"/>
    <n v="67"/>
    <s v="R01"/>
    <d v="2023-07-22T00:00:00"/>
    <n v="38"/>
    <n v="4.2"/>
    <n v="2024"/>
    <s v="Saturday"/>
    <s v="1 to 2 hours"/>
    <n v="4"/>
  </r>
  <r>
    <s v="Call_7906"/>
    <s v="C0009"/>
    <n v="162"/>
    <s v="R05"/>
    <d v="2023-07-22T00:00:00"/>
    <n v="82"/>
    <n v="4.5999999999999996"/>
    <n v="2024"/>
    <s v="Saturday"/>
    <s v="More than 2 hours"/>
    <n v="5"/>
  </r>
  <r>
    <s v="Call_7907"/>
    <s v="C0014"/>
    <n v="87"/>
    <s v="R02"/>
    <d v="2023-07-25T00:00:00"/>
    <n v="125"/>
    <n v="4.5"/>
    <n v="2024"/>
    <s v="Tuesday"/>
    <s v="1 to 2 hours"/>
    <n v="5"/>
  </r>
  <r>
    <s v="Call_7908"/>
    <s v="C0015"/>
    <n v="10"/>
    <s v="R03"/>
    <d v="2023-07-26T00:00:00"/>
    <n v="72"/>
    <n v="3.7"/>
    <n v="2024"/>
    <s v="Wednesday"/>
    <s v="Under 10 mins"/>
    <n v="4"/>
  </r>
  <r>
    <s v="Call_7909"/>
    <s v="C0004"/>
    <n v="138"/>
    <s v="R03"/>
    <d v="2023-07-26T00:00:00"/>
    <n v="195"/>
    <n v="4.0999999999999996"/>
    <n v="2024"/>
    <s v="Wednesday"/>
    <s v="More than 2 hours"/>
    <n v="4"/>
  </r>
  <r>
    <s v="Call_7910"/>
    <s v="C0009"/>
    <n v="31"/>
    <s v="R03"/>
    <d v="2023-07-27T00:00:00"/>
    <n v="160"/>
    <n v="3.4"/>
    <n v="2024"/>
    <s v="Thursday"/>
    <s v="30 to 60 mins"/>
    <n v="3"/>
  </r>
  <r>
    <s v="Call_7911"/>
    <s v="C0012"/>
    <n v="75"/>
    <s v="R05"/>
    <d v="2023-07-27T00:00:00"/>
    <n v="78"/>
    <n v="3.3"/>
    <n v="2024"/>
    <s v="Thursday"/>
    <s v="1 to 2 hours"/>
    <n v="3"/>
  </r>
  <r>
    <s v="Call_7912"/>
    <s v="C0003"/>
    <n v="65"/>
    <s v="R05"/>
    <d v="2023-07-28T00:00:00"/>
    <n v="70"/>
    <n v="4.4000000000000004"/>
    <n v="2024"/>
    <s v="Friday"/>
    <s v="1 to 2 hours"/>
    <n v="4"/>
  </r>
  <r>
    <s v="Call_7913"/>
    <s v="C0005"/>
    <n v="106"/>
    <s v="R04"/>
    <d v="2023-07-28T00:00:00"/>
    <n v="105"/>
    <n v="4.2"/>
    <n v="2024"/>
    <s v="Friday"/>
    <s v="1 to 2 hours"/>
    <n v="4"/>
  </r>
  <r>
    <s v="Call_7914"/>
    <s v="C0003"/>
    <n v="107"/>
    <s v="R04"/>
    <d v="2023-07-29T00:00:00"/>
    <n v="78"/>
    <n v="3.4"/>
    <n v="2024"/>
    <s v="Saturday"/>
    <s v="1 to 2 hours"/>
    <n v="3"/>
  </r>
  <r>
    <s v="Call_7915"/>
    <s v="C0001"/>
    <n v="78"/>
    <s v="R04"/>
    <d v="2023-07-31T00:00:00"/>
    <n v="205"/>
    <n v="4.4000000000000004"/>
    <n v="2024"/>
    <s v="Monday"/>
    <s v="1 to 2 hours"/>
    <n v="4"/>
  </r>
  <r>
    <s v="Call_7916"/>
    <s v="C0002"/>
    <n v="122"/>
    <s v="R04"/>
    <d v="2023-07-31T00:00:00"/>
    <n v="78"/>
    <n v="2.7"/>
    <n v="2024"/>
    <s v="Monday"/>
    <s v="More than 2 hours"/>
    <n v="3"/>
  </r>
  <r>
    <s v="Call_7917"/>
    <s v="C0004"/>
    <n v="58"/>
    <s v="R03"/>
    <d v="2023-07-31T00:00:00"/>
    <n v="38"/>
    <n v="4.5"/>
    <n v="2024"/>
    <s v="Monday"/>
    <s v="30 to 60 mins"/>
    <n v="5"/>
  </r>
  <r>
    <s v="Call_7918"/>
    <s v="C0001"/>
    <n v="33"/>
    <s v="R01"/>
    <d v="2023-07-31T00:00:00"/>
    <n v="92"/>
    <n v="1.7"/>
    <n v="2024"/>
    <s v="Monday"/>
    <s v="30 to 60 mins"/>
    <n v="2"/>
  </r>
  <r>
    <s v="Call_7919"/>
    <s v="C0008"/>
    <n v="164"/>
    <s v="R05"/>
    <d v="2023-07-31T00:00:00"/>
    <n v="36"/>
    <n v="4.7"/>
    <n v="2024"/>
    <s v="Monday"/>
    <s v="More than 2 hours"/>
    <n v="5"/>
  </r>
  <r>
    <s v="Call_7920"/>
    <s v="C0012"/>
    <n v="163"/>
    <s v="R02"/>
    <d v="2023-07-31T00:00:00"/>
    <n v="76"/>
    <n v="4.4000000000000004"/>
    <n v="2024"/>
    <s v="Monday"/>
    <s v="More than 2 hours"/>
    <n v="4"/>
  </r>
  <r>
    <s v="Call_7921"/>
    <s v="C0007"/>
    <n v="71"/>
    <s v="R05"/>
    <d v="2023-08-02T00:00:00"/>
    <n v="170"/>
    <n v="3.5"/>
    <n v="2024"/>
    <s v="Wednesday"/>
    <s v="1 to 2 hours"/>
    <n v="4"/>
  </r>
  <r>
    <s v="Call_7922"/>
    <s v="C0001"/>
    <n v="103"/>
    <s v="R03"/>
    <d v="2023-08-03T00:00:00"/>
    <n v="117"/>
    <n v="4.7"/>
    <n v="2024"/>
    <s v="Thursday"/>
    <s v="1 to 2 hours"/>
    <n v="5"/>
  </r>
  <r>
    <s v="Call_7923"/>
    <s v="C0006"/>
    <n v="69"/>
    <s v="R02"/>
    <d v="2023-08-03T00:00:00"/>
    <n v="20"/>
    <n v="4.3"/>
    <n v="2024"/>
    <s v="Thursday"/>
    <s v="1 to 2 hours"/>
    <n v="4"/>
  </r>
  <r>
    <s v="Call_7924"/>
    <s v="C0012"/>
    <n v="111"/>
    <s v="R03"/>
    <d v="2023-08-03T00:00:00"/>
    <n v="99"/>
    <n v="4.0999999999999996"/>
    <n v="2024"/>
    <s v="Thursday"/>
    <s v="1 to 2 hours"/>
    <n v="4"/>
  </r>
  <r>
    <s v="Call_7925"/>
    <s v="C0010"/>
    <n v="97"/>
    <s v="R02"/>
    <d v="2023-08-04T00:00:00"/>
    <n v="105"/>
    <n v="2.9"/>
    <n v="2024"/>
    <s v="Friday"/>
    <s v="1 to 2 hours"/>
    <n v="3"/>
  </r>
  <r>
    <s v="Call_7926"/>
    <s v="C0013"/>
    <n v="144"/>
    <s v="R04"/>
    <d v="2023-08-04T00:00:00"/>
    <n v="195"/>
    <n v="3.4"/>
    <n v="2024"/>
    <s v="Friday"/>
    <s v="More than 2 hours"/>
    <n v="3"/>
  </r>
  <r>
    <s v="Call_7927"/>
    <s v="C0005"/>
    <n v="56"/>
    <s v="R02"/>
    <d v="2023-08-05T00:00:00"/>
    <n v="152"/>
    <n v="4.5999999999999996"/>
    <n v="2024"/>
    <s v="Saturday"/>
    <s v="30 to 60 mins"/>
    <n v="5"/>
  </r>
  <r>
    <s v="Call_7928"/>
    <s v="C0013"/>
    <n v="132"/>
    <s v="R04"/>
    <d v="2023-08-06T00:00:00"/>
    <n v="195"/>
    <n v="4.9000000000000004"/>
    <n v="2024"/>
    <s v="Sunday"/>
    <s v="More than 2 hours"/>
    <n v="5"/>
  </r>
  <r>
    <s v="Call_7929"/>
    <s v="C0007"/>
    <n v="72"/>
    <s v="R01"/>
    <d v="2023-08-06T00:00:00"/>
    <n v="70"/>
    <n v="3.6"/>
    <n v="2024"/>
    <s v="Sunday"/>
    <s v="1 to 2 hours"/>
    <n v="4"/>
  </r>
  <r>
    <s v="Call_7930"/>
    <s v="C0012"/>
    <n v="18"/>
    <s v="R01"/>
    <d v="2023-08-06T00:00:00"/>
    <n v="22"/>
    <n v="3.5"/>
    <n v="2024"/>
    <s v="Sunday"/>
    <s v="10 to 30 mins"/>
    <n v="4"/>
  </r>
  <r>
    <s v="Call_7931"/>
    <s v="C0011"/>
    <n v="115"/>
    <s v="R03"/>
    <d v="2023-08-07T00:00:00"/>
    <n v="40"/>
    <n v="3.3"/>
    <n v="2024"/>
    <s v="Monday"/>
    <s v="1 to 2 hours"/>
    <n v="3"/>
  </r>
  <r>
    <s v="Call_7932"/>
    <s v="C0011"/>
    <n v="124"/>
    <s v="R02"/>
    <d v="2023-08-08T00:00:00"/>
    <n v="54"/>
    <n v="3.8"/>
    <n v="2024"/>
    <s v="Tuesday"/>
    <s v="More than 2 hours"/>
    <n v="4"/>
  </r>
  <r>
    <s v="Call_7933"/>
    <s v="C0004"/>
    <n v="130"/>
    <s v="R02"/>
    <d v="2023-08-08T00:00:00"/>
    <n v="60"/>
    <n v="2.5"/>
    <n v="2024"/>
    <s v="Tuesday"/>
    <s v="More than 2 hours"/>
    <n v="3"/>
  </r>
  <r>
    <s v="Call_7934"/>
    <s v="C0015"/>
    <n v="120"/>
    <s v="R05"/>
    <d v="2023-08-10T00:00:00"/>
    <n v="58"/>
    <n v="4.5999999999999996"/>
    <n v="2024"/>
    <s v="Thursday"/>
    <s v="1 to 2 hours"/>
    <n v="5"/>
  </r>
  <r>
    <s v="Call_7935"/>
    <s v="C0010"/>
    <n v="75"/>
    <s v="R03"/>
    <d v="2023-08-10T00:00:00"/>
    <n v="220"/>
    <n v="4.7"/>
    <n v="2024"/>
    <s v="Thursday"/>
    <s v="1 to 2 hours"/>
    <n v="5"/>
  </r>
  <r>
    <s v="Call_7936"/>
    <s v="C0003"/>
    <n v="63"/>
    <s v="R03"/>
    <d v="2023-08-10T00:00:00"/>
    <n v="27"/>
    <n v="3.6"/>
    <n v="2024"/>
    <s v="Thursday"/>
    <s v="1 to 2 hours"/>
    <n v="4"/>
  </r>
  <r>
    <s v="Call_7937"/>
    <s v="C0013"/>
    <n v="74"/>
    <s v="R03"/>
    <d v="2023-08-12T00:00:00"/>
    <n v="26"/>
    <n v="4.3"/>
    <n v="2024"/>
    <s v="Saturday"/>
    <s v="1 to 2 hours"/>
    <n v="4"/>
  </r>
  <r>
    <s v="Call_7938"/>
    <s v="C0006"/>
    <n v="134"/>
    <s v="R04"/>
    <d v="2023-08-13T00:00:00"/>
    <n v="160"/>
    <n v="4.7"/>
    <n v="2024"/>
    <s v="Sunday"/>
    <s v="More than 2 hours"/>
    <n v="5"/>
  </r>
  <r>
    <s v="Call_7939"/>
    <s v="C0012"/>
    <n v="103"/>
    <s v="R02"/>
    <d v="2023-08-13T00:00:00"/>
    <n v="200"/>
    <n v="4.9000000000000004"/>
    <n v="2024"/>
    <s v="Sunday"/>
    <s v="1 to 2 hours"/>
    <n v="5"/>
  </r>
  <r>
    <s v="Call_7940"/>
    <s v="C0012"/>
    <n v="155"/>
    <s v="R05"/>
    <d v="2023-08-16T00:00:00"/>
    <n v="135"/>
    <n v="4.9000000000000004"/>
    <n v="2024"/>
    <s v="Wednesday"/>
    <s v="More than 2 hours"/>
    <n v="5"/>
  </r>
  <r>
    <s v="Call_7941"/>
    <s v="C0003"/>
    <n v="128"/>
    <s v="R02"/>
    <d v="2023-08-17T00:00:00"/>
    <n v="22"/>
    <n v="1.9"/>
    <n v="2024"/>
    <s v="Thursday"/>
    <s v="More than 2 hours"/>
    <n v="2"/>
  </r>
  <r>
    <s v="Call_7942"/>
    <s v="C0010"/>
    <n v="89"/>
    <s v="R04"/>
    <d v="2023-08-18T00:00:00"/>
    <n v="164"/>
    <n v="4.5"/>
    <n v="2024"/>
    <s v="Friday"/>
    <s v="1 to 2 hours"/>
    <n v="5"/>
  </r>
  <r>
    <s v="Call_7943"/>
    <s v="C0011"/>
    <n v="81"/>
    <s v="R05"/>
    <d v="2023-08-18T00:00:00"/>
    <n v="21"/>
    <n v="4.9000000000000004"/>
    <n v="2024"/>
    <s v="Friday"/>
    <s v="1 to 2 hours"/>
    <n v="5"/>
  </r>
  <r>
    <s v="Call_7944"/>
    <s v="C0010"/>
    <n v="66"/>
    <s v="R04"/>
    <d v="2023-08-19T00:00:00"/>
    <n v="120"/>
    <n v="4.5"/>
    <n v="2024"/>
    <s v="Saturday"/>
    <s v="1 to 2 hours"/>
    <n v="5"/>
  </r>
  <r>
    <s v="Call_7945"/>
    <s v="C0007"/>
    <n v="61"/>
    <s v="R01"/>
    <d v="2023-08-19T00:00:00"/>
    <n v="93"/>
    <n v="2.7"/>
    <n v="2024"/>
    <s v="Saturday"/>
    <s v="1 to 2 hours"/>
    <n v="3"/>
  </r>
  <r>
    <s v="Call_7946"/>
    <s v="C0011"/>
    <n v="128"/>
    <s v="R01"/>
    <d v="2023-08-19T00:00:00"/>
    <n v="135"/>
    <n v="2.1"/>
    <n v="2024"/>
    <s v="Saturday"/>
    <s v="More than 2 hours"/>
    <n v="2"/>
  </r>
  <r>
    <s v="Call_7947"/>
    <s v="C0012"/>
    <n v="30"/>
    <s v="R05"/>
    <d v="2023-08-19T00:00:00"/>
    <n v="210"/>
    <n v="4.2"/>
    <n v="2024"/>
    <s v="Saturday"/>
    <s v="10 to 30 mins"/>
    <n v="4"/>
  </r>
  <r>
    <s v="Call_7948"/>
    <s v="C0008"/>
    <n v="63"/>
    <s v="R01"/>
    <d v="2023-08-20T00:00:00"/>
    <n v="29"/>
    <n v="4.7"/>
    <n v="2024"/>
    <s v="Sunday"/>
    <s v="1 to 2 hours"/>
    <n v="5"/>
  </r>
  <r>
    <s v="Call_7949"/>
    <s v="C0002"/>
    <n v="64"/>
    <s v="R03"/>
    <d v="2023-08-20T00:00:00"/>
    <n v="111"/>
    <n v="3.9"/>
    <n v="2024"/>
    <s v="Sunday"/>
    <s v="1 to 2 hours"/>
    <n v="4"/>
  </r>
  <r>
    <s v="Call_7950"/>
    <s v="C0014"/>
    <n v="151"/>
    <s v="R02"/>
    <d v="2023-08-21T00:00:00"/>
    <n v="63"/>
    <n v="4.0999999999999996"/>
    <n v="2024"/>
    <s v="Monday"/>
    <s v="More than 2 hours"/>
    <n v="4"/>
  </r>
  <r>
    <s v="Call_7951"/>
    <s v="C0001"/>
    <n v="116"/>
    <s v="R04"/>
    <d v="2023-08-21T00:00:00"/>
    <n v="44"/>
    <n v="3.8"/>
    <n v="2024"/>
    <s v="Monday"/>
    <s v="1 to 2 hours"/>
    <n v="4"/>
  </r>
  <r>
    <s v="Call_7952"/>
    <s v="C0014"/>
    <n v="111"/>
    <s v="R04"/>
    <d v="2023-08-23T00:00:00"/>
    <n v="120"/>
    <n v="1.8"/>
    <n v="2024"/>
    <s v="Wednesday"/>
    <s v="1 to 2 hours"/>
    <n v="2"/>
  </r>
  <r>
    <s v="Call_7953"/>
    <s v="C0011"/>
    <n v="15"/>
    <s v="R04"/>
    <d v="2023-08-23T00:00:00"/>
    <n v="120"/>
    <n v="4.0999999999999996"/>
    <n v="2024"/>
    <s v="Wednesday"/>
    <s v="10 to 30 mins"/>
    <n v="4"/>
  </r>
  <r>
    <s v="Call_7954"/>
    <s v="C0002"/>
    <n v="18"/>
    <s v="R02"/>
    <d v="2023-08-24T00:00:00"/>
    <n v="40"/>
    <n v="4.4000000000000004"/>
    <n v="2024"/>
    <s v="Thursday"/>
    <s v="10 to 30 mins"/>
    <n v="4"/>
  </r>
  <r>
    <s v="Call_7955"/>
    <s v="C0007"/>
    <n v="146"/>
    <s v="R01"/>
    <d v="2023-08-24T00:00:00"/>
    <n v="160"/>
    <n v="4.0999999999999996"/>
    <n v="2024"/>
    <s v="Thursday"/>
    <s v="More than 2 hours"/>
    <n v="4"/>
  </r>
  <r>
    <s v="Call_7956"/>
    <s v="C0012"/>
    <n v="73"/>
    <s v="R04"/>
    <d v="2023-08-25T00:00:00"/>
    <n v="44"/>
    <n v="3.8"/>
    <n v="2024"/>
    <s v="Friday"/>
    <s v="1 to 2 hours"/>
    <n v="4"/>
  </r>
  <r>
    <s v="Call_7957"/>
    <s v="C0014"/>
    <n v="108"/>
    <s v="R02"/>
    <d v="2023-08-25T00:00:00"/>
    <n v="80"/>
    <n v="4.3"/>
    <n v="2024"/>
    <s v="Friday"/>
    <s v="1 to 2 hours"/>
    <n v="4"/>
  </r>
  <r>
    <s v="Call_7958"/>
    <s v="C0006"/>
    <n v="52"/>
    <s v="R02"/>
    <d v="2023-08-26T00:00:00"/>
    <n v="66"/>
    <n v="4.5"/>
    <n v="2024"/>
    <s v="Saturday"/>
    <s v="30 to 60 mins"/>
    <n v="5"/>
  </r>
  <r>
    <s v="Call_7959"/>
    <s v="C0001"/>
    <n v="165"/>
    <s v="R03"/>
    <d v="2023-08-26T00:00:00"/>
    <n v="82"/>
    <n v="3.4"/>
    <n v="2024"/>
    <s v="Saturday"/>
    <s v="More than 2 hours"/>
    <n v="3"/>
  </r>
  <r>
    <s v="Call_7960"/>
    <s v="C0007"/>
    <n v="104"/>
    <s v="R04"/>
    <d v="2023-08-26T00:00:00"/>
    <n v="66"/>
    <n v="4.8"/>
    <n v="2024"/>
    <s v="Saturday"/>
    <s v="1 to 2 hours"/>
    <n v="5"/>
  </r>
  <r>
    <s v="Call_7961"/>
    <s v="C0012"/>
    <n v="131"/>
    <s v="R01"/>
    <d v="2023-08-26T00:00:00"/>
    <n v="92"/>
    <n v="4.9000000000000004"/>
    <n v="2024"/>
    <s v="Saturday"/>
    <s v="More than 2 hours"/>
    <n v="5"/>
  </r>
  <r>
    <s v="Call_7962"/>
    <s v="C0015"/>
    <n v="80"/>
    <s v="R03"/>
    <d v="2023-08-27T00:00:00"/>
    <n v="104"/>
    <n v="4.7"/>
    <n v="2024"/>
    <s v="Sunday"/>
    <s v="1 to 2 hours"/>
    <n v="5"/>
  </r>
  <r>
    <s v="Call_7963"/>
    <s v="C0011"/>
    <n v="49"/>
    <s v="R04"/>
    <d v="2023-08-27T00:00:00"/>
    <n v="105"/>
    <n v="3.3"/>
    <n v="2024"/>
    <s v="Sunday"/>
    <s v="30 to 60 mins"/>
    <n v="3"/>
  </r>
  <r>
    <s v="Call_7964"/>
    <s v="C0001"/>
    <n v="73"/>
    <s v="R04"/>
    <d v="2023-08-27T00:00:00"/>
    <n v="100"/>
    <n v="2.8"/>
    <n v="2024"/>
    <s v="Sunday"/>
    <s v="1 to 2 hours"/>
    <n v="3"/>
  </r>
  <r>
    <s v="Call_7965"/>
    <s v="C0007"/>
    <n v="117"/>
    <s v="R03"/>
    <d v="2023-08-27T00:00:00"/>
    <n v="90"/>
    <n v="4.0999999999999996"/>
    <n v="2024"/>
    <s v="Sunday"/>
    <s v="1 to 2 hours"/>
    <n v="4"/>
  </r>
  <r>
    <s v="Call_7966"/>
    <s v="C0005"/>
    <n v="38"/>
    <s v="R05"/>
    <d v="2023-08-27T00:00:00"/>
    <n v="110"/>
    <n v="3.5"/>
    <n v="2024"/>
    <s v="Sunday"/>
    <s v="30 to 60 mins"/>
    <n v="4"/>
  </r>
  <r>
    <s v="Call_7967"/>
    <s v="C0006"/>
    <n v="109"/>
    <s v="R03"/>
    <d v="2023-08-29T00:00:00"/>
    <n v="68"/>
    <n v="2.2999999999999998"/>
    <n v="2024"/>
    <s v="Tuesday"/>
    <s v="1 to 2 hours"/>
    <n v="2"/>
  </r>
  <r>
    <s v="Call_7968"/>
    <s v="C0011"/>
    <n v="70"/>
    <s v="R02"/>
    <d v="2023-08-30T00:00:00"/>
    <n v="210"/>
    <n v="4.0999999999999996"/>
    <n v="2024"/>
    <s v="Wednesday"/>
    <s v="1 to 2 hours"/>
    <n v="4"/>
  </r>
  <r>
    <s v="Call_7969"/>
    <s v="C0004"/>
    <n v="51"/>
    <s v="R05"/>
    <d v="2023-08-30T00:00:00"/>
    <n v="111"/>
    <n v="4.3"/>
    <n v="2024"/>
    <s v="Wednesday"/>
    <s v="30 to 60 mins"/>
    <n v="4"/>
  </r>
  <r>
    <s v="Call_7970"/>
    <s v="C0004"/>
    <n v="100"/>
    <s v="R02"/>
    <d v="2023-08-31T00:00:00"/>
    <n v="45"/>
    <n v="4.9000000000000004"/>
    <n v="2024"/>
    <s v="Thursday"/>
    <s v="1 to 2 hours"/>
    <n v="5"/>
  </r>
  <r>
    <s v="Call_7971"/>
    <s v="C0013"/>
    <n v="124"/>
    <s v="R05"/>
    <d v="2023-09-01T00:00:00"/>
    <n v="132"/>
    <n v="4"/>
    <n v="2024"/>
    <s v="Friday"/>
    <s v="More than 2 hours"/>
    <n v="4"/>
  </r>
  <r>
    <s v="Call_7972"/>
    <s v="C0003"/>
    <n v="143"/>
    <s v="R03"/>
    <d v="2023-09-01T00:00:00"/>
    <n v="20"/>
    <n v="4.7"/>
    <n v="2024"/>
    <s v="Friday"/>
    <s v="More than 2 hours"/>
    <n v="5"/>
  </r>
  <r>
    <s v="Call_7973"/>
    <s v="C0010"/>
    <n v="96"/>
    <s v="R04"/>
    <d v="2023-09-01T00:00:00"/>
    <n v="36"/>
    <n v="3.4"/>
    <n v="2024"/>
    <s v="Friday"/>
    <s v="1 to 2 hours"/>
    <n v="3"/>
  </r>
  <r>
    <s v="Call_7974"/>
    <s v="C0001"/>
    <n v="84"/>
    <s v="R02"/>
    <d v="2023-09-03T00:00:00"/>
    <n v="72"/>
    <n v="4"/>
    <n v="2024"/>
    <s v="Sunday"/>
    <s v="1 to 2 hours"/>
    <n v="4"/>
  </r>
  <r>
    <s v="Call_7975"/>
    <s v="C0009"/>
    <n v="111"/>
    <s v="R02"/>
    <d v="2023-09-03T00:00:00"/>
    <n v="63"/>
    <n v="4.5"/>
    <n v="2024"/>
    <s v="Sunday"/>
    <s v="1 to 2 hours"/>
    <n v="5"/>
  </r>
  <r>
    <s v="Call_7976"/>
    <s v="C0009"/>
    <n v="103"/>
    <s v="R05"/>
    <d v="2023-09-04T00:00:00"/>
    <n v="44"/>
    <n v="4.5"/>
    <n v="2024"/>
    <s v="Monday"/>
    <s v="1 to 2 hours"/>
    <n v="5"/>
  </r>
  <r>
    <s v="Call_7977"/>
    <s v="C0003"/>
    <n v="61"/>
    <s v="R01"/>
    <d v="2023-09-04T00:00:00"/>
    <n v="132"/>
    <n v="4.9000000000000004"/>
    <n v="2024"/>
    <s v="Monday"/>
    <s v="1 to 2 hours"/>
    <n v="5"/>
  </r>
  <r>
    <s v="Call_7978"/>
    <s v="C0012"/>
    <n v="113"/>
    <s v="R04"/>
    <d v="2023-09-04T00:00:00"/>
    <n v="46"/>
    <n v="4.4000000000000004"/>
    <n v="2024"/>
    <s v="Monday"/>
    <s v="1 to 2 hours"/>
    <n v="4"/>
  </r>
  <r>
    <s v="Call_7979"/>
    <s v="C0012"/>
    <n v="96"/>
    <s v="R04"/>
    <d v="2023-09-04T00:00:00"/>
    <n v="96"/>
    <n v="2.9"/>
    <n v="2024"/>
    <s v="Monday"/>
    <s v="1 to 2 hours"/>
    <n v="3"/>
  </r>
  <r>
    <s v="Call_7980"/>
    <s v="C0002"/>
    <n v="131"/>
    <s v="R05"/>
    <d v="2023-09-05T00:00:00"/>
    <n v="75"/>
    <n v="4.4000000000000004"/>
    <n v="2024"/>
    <s v="Tuesday"/>
    <s v="More than 2 hours"/>
    <n v="4"/>
  </r>
  <r>
    <s v="Call_7981"/>
    <s v="C0007"/>
    <n v="52"/>
    <s v="R04"/>
    <d v="2023-09-06T00:00:00"/>
    <n v="88"/>
    <n v="4.3"/>
    <n v="2024"/>
    <s v="Wednesday"/>
    <s v="30 to 60 mins"/>
    <n v="4"/>
  </r>
  <r>
    <s v="Call_7982"/>
    <s v="C0004"/>
    <n v="100"/>
    <s v="R05"/>
    <d v="2023-09-06T00:00:00"/>
    <n v="24"/>
    <n v="4.7"/>
    <n v="2024"/>
    <s v="Wednesday"/>
    <s v="1 to 2 hours"/>
    <n v="5"/>
  </r>
  <r>
    <s v="Call_7983"/>
    <s v="C0014"/>
    <n v="58"/>
    <s v="R03"/>
    <d v="2023-09-06T00:00:00"/>
    <n v="96"/>
    <n v="3.2"/>
    <n v="2024"/>
    <s v="Wednesday"/>
    <s v="30 to 60 mins"/>
    <n v="3"/>
  </r>
  <r>
    <s v="Call_7984"/>
    <s v="C0011"/>
    <n v="144"/>
    <s v="R03"/>
    <d v="2023-09-07T00:00:00"/>
    <n v="124"/>
    <n v="2.2999999999999998"/>
    <n v="2024"/>
    <s v="Thursday"/>
    <s v="More than 2 hours"/>
    <n v="2"/>
  </r>
  <r>
    <s v="Call_7985"/>
    <s v="C0014"/>
    <n v="53"/>
    <s v="R01"/>
    <d v="2023-09-08T00:00:00"/>
    <n v="130"/>
    <n v="3.6"/>
    <n v="2024"/>
    <s v="Friday"/>
    <s v="30 to 60 mins"/>
    <n v="4"/>
  </r>
  <r>
    <s v="Call_7986"/>
    <s v="C0012"/>
    <n v="97"/>
    <s v="R02"/>
    <d v="2023-09-08T00:00:00"/>
    <n v="45"/>
    <n v="4.5999999999999996"/>
    <n v="2024"/>
    <s v="Friday"/>
    <s v="1 to 2 hours"/>
    <n v="5"/>
  </r>
  <r>
    <s v="Call_7987"/>
    <s v="C0005"/>
    <n v="64"/>
    <s v="R03"/>
    <d v="2023-09-08T00:00:00"/>
    <n v="66"/>
    <n v="4"/>
    <n v="2024"/>
    <s v="Friday"/>
    <s v="1 to 2 hours"/>
    <n v="4"/>
  </r>
  <r>
    <s v="Call_7988"/>
    <s v="C0003"/>
    <n v="106"/>
    <s v="R05"/>
    <d v="2023-09-08T00:00:00"/>
    <n v="58"/>
    <n v="4.7"/>
    <n v="2024"/>
    <s v="Friday"/>
    <s v="1 to 2 hours"/>
    <n v="5"/>
  </r>
  <r>
    <s v="Call_7989"/>
    <s v="C0001"/>
    <n v="36"/>
    <s v="R03"/>
    <d v="2023-09-09T00:00:00"/>
    <n v="152"/>
    <n v="4.3"/>
    <n v="2024"/>
    <s v="Saturday"/>
    <s v="30 to 60 mins"/>
    <n v="4"/>
  </r>
  <r>
    <s v="Call_7990"/>
    <s v="C0011"/>
    <n v="74"/>
    <s v="R04"/>
    <d v="2023-09-09T00:00:00"/>
    <n v="75"/>
    <n v="2.8"/>
    <n v="2024"/>
    <s v="Saturday"/>
    <s v="1 to 2 hours"/>
    <n v="3"/>
  </r>
  <r>
    <s v="Call_7991"/>
    <s v="C0006"/>
    <n v="143"/>
    <s v="R02"/>
    <d v="2023-09-09T00:00:00"/>
    <n v="78"/>
    <n v="4"/>
    <n v="2024"/>
    <s v="Saturday"/>
    <s v="More than 2 hours"/>
    <n v="4"/>
  </r>
  <r>
    <s v="Call_7992"/>
    <s v="C0003"/>
    <n v="94"/>
    <s v="R01"/>
    <d v="2023-09-09T00:00:00"/>
    <n v="69"/>
    <n v="3.9"/>
    <n v="2024"/>
    <s v="Saturday"/>
    <s v="1 to 2 hours"/>
    <n v="4"/>
  </r>
  <r>
    <s v="Call_7993"/>
    <s v="C0015"/>
    <n v="124"/>
    <s v="R05"/>
    <d v="2023-09-10T00:00:00"/>
    <n v="46"/>
    <n v="3.1"/>
    <n v="2024"/>
    <s v="Sunday"/>
    <s v="More than 2 hours"/>
    <n v="3"/>
  </r>
  <r>
    <s v="Call_7994"/>
    <s v="C0001"/>
    <n v="156"/>
    <s v="R03"/>
    <d v="2023-09-10T00:00:00"/>
    <n v="64"/>
    <n v="2.7"/>
    <n v="2024"/>
    <s v="Sunday"/>
    <s v="More than 2 hours"/>
    <n v="3"/>
  </r>
  <r>
    <s v="Call_7995"/>
    <s v="C0010"/>
    <n v="107"/>
    <s v="R02"/>
    <d v="2023-09-10T00:00:00"/>
    <n v="38"/>
    <n v="4.7"/>
    <n v="2024"/>
    <s v="Sunday"/>
    <s v="1 to 2 hours"/>
    <n v="5"/>
  </r>
  <r>
    <s v="Call_7996"/>
    <s v="C0003"/>
    <n v="58"/>
    <s v="R02"/>
    <d v="2023-09-12T00:00:00"/>
    <n v="90"/>
    <n v="4.3"/>
    <n v="2024"/>
    <s v="Tuesday"/>
    <s v="30 to 60 mins"/>
    <n v="4"/>
  </r>
  <r>
    <s v="Call_7997"/>
    <s v="C0013"/>
    <n v="66"/>
    <s v="R02"/>
    <d v="2023-09-12T00:00:00"/>
    <n v="32"/>
    <n v="3.8"/>
    <n v="2024"/>
    <s v="Tuesday"/>
    <s v="1 to 2 hours"/>
    <n v="4"/>
  </r>
  <r>
    <s v="Call_7998"/>
    <s v="C0002"/>
    <n v="75"/>
    <s v="R03"/>
    <d v="2023-09-12T00:00:00"/>
    <n v="120"/>
    <n v="4.4000000000000004"/>
    <n v="2024"/>
    <s v="Tuesday"/>
    <s v="1 to 2 hours"/>
    <n v="4"/>
  </r>
  <r>
    <s v="Call_7999"/>
    <s v="C0010"/>
    <n v="8"/>
    <s v="R02"/>
    <d v="2023-09-12T00:00:00"/>
    <n v="31"/>
    <n v="3.9"/>
    <n v="2024"/>
    <s v="Tuesday"/>
    <s v="Under 10 mins"/>
    <n v="4"/>
  </r>
  <r>
    <s v="Call_8000"/>
    <s v="C0005"/>
    <n v="76"/>
    <s v="R03"/>
    <d v="2023-09-13T00:00:00"/>
    <n v="108"/>
    <n v="4.9000000000000004"/>
    <n v="2024"/>
    <s v="Wednesday"/>
    <s v="1 to 2 hours"/>
    <n v="5"/>
  </r>
  <r>
    <s v="Call_8001"/>
    <s v="C0003"/>
    <n v="110"/>
    <s v="R03"/>
    <d v="2023-09-13T00:00:00"/>
    <n v="180"/>
    <n v="4.2"/>
    <n v="2024"/>
    <s v="Wednesday"/>
    <s v="1 to 2 hours"/>
    <n v="4"/>
  </r>
  <r>
    <s v="Call_8002"/>
    <s v="C0013"/>
    <n v="50"/>
    <s v="R01"/>
    <d v="2023-09-14T00:00:00"/>
    <n v="124"/>
    <n v="4"/>
    <n v="2024"/>
    <s v="Thursday"/>
    <s v="30 to 60 mins"/>
    <n v="4"/>
  </r>
  <r>
    <s v="Call_8003"/>
    <s v="C0007"/>
    <n v="78"/>
    <s v="R01"/>
    <d v="2023-09-14T00:00:00"/>
    <n v="23"/>
    <n v="4.2"/>
    <n v="2024"/>
    <s v="Thursday"/>
    <s v="1 to 2 hours"/>
    <n v="4"/>
  </r>
  <r>
    <s v="Call_8004"/>
    <s v="C0012"/>
    <n v="59"/>
    <s v="R05"/>
    <d v="2023-09-15T00:00:00"/>
    <n v="24"/>
    <n v="4.8"/>
    <n v="2024"/>
    <s v="Friday"/>
    <s v="30 to 60 mins"/>
    <n v="5"/>
  </r>
  <r>
    <s v="Call_8005"/>
    <s v="C0007"/>
    <n v="126"/>
    <s v="R02"/>
    <d v="2023-09-16T00:00:00"/>
    <n v="52"/>
    <n v="1.1000000000000001"/>
    <n v="2024"/>
    <s v="Saturday"/>
    <s v="More than 2 hours"/>
    <n v="1"/>
  </r>
  <r>
    <s v="Call_8006"/>
    <s v="C0005"/>
    <n v="43"/>
    <s v="R05"/>
    <d v="2023-09-17T00:00:00"/>
    <n v="168"/>
    <n v="4"/>
    <n v="2024"/>
    <s v="Sunday"/>
    <s v="30 to 60 mins"/>
    <n v="4"/>
  </r>
  <r>
    <s v="Call_8007"/>
    <s v="C0001"/>
    <n v="79"/>
    <s v="R03"/>
    <d v="2023-09-19T00:00:00"/>
    <n v="125"/>
    <n v="4.8"/>
    <n v="2024"/>
    <s v="Tuesday"/>
    <s v="1 to 2 hours"/>
    <n v="5"/>
  </r>
  <r>
    <s v="Call_8008"/>
    <s v="C0003"/>
    <n v="71"/>
    <s v="R05"/>
    <d v="2023-09-20T00:00:00"/>
    <n v="50"/>
    <n v="4.2"/>
    <n v="2024"/>
    <s v="Wednesday"/>
    <s v="1 to 2 hours"/>
    <n v="4"/>
  </r>
  <r>
    <s v="Call_8009"/>
    <s v="C0009"/>
    <n v="94"/>
    <s v="R02"/>
    <d v="2023-09-21T00:00:00"/>
    <n v="220"/>
    <n v="4.5999999999999996"/>
    <n v="2024"/>
    <s v="Thursday"/>
    <s v="1 to 2 hours"/>
    <n v="5"/>
  </r>
  <r>
    <s v="Call_8010"/>
    <s v="C0010"/>
    <n v="108"/>
    <s v="R05"/>
    <d v="2023-09-21T00:00:00"/>
    <n v="180"/>
    <n v="4"/>
    <n v="2024"/>
    <s v="Thursday"/>
    <s v="1 to 2 hours"/>
    <n v="4"/>
  </r>
  <r>
    <s v="Call_8011"/>
    <s v="C0005"/>
    <n v="76"/>
    <s v="R02"/>
    <d v="2023-09-21T00:00:00"/>
    <n v="110"/>
    <n v="3.9"/>
    <n v="2024"/>
    <s v="Thursday"/>
    <s v="1 to 2 hours"/>
    <n v="4"/>
  </r>
  <r>
    <s v="Call_8012"/>
    <s v="C0012"/>
    <n v="136"/>
    <s v="R05"/>
    <d v="2023-09-21T00:00:00"/>
    <n v="36"/>
    <n v="2.8"/>
    <n v="2024"/>
    <s v="Thursday"/>
    <s v="More than 2 hours"/>
    <n v="3"/>
  </r>
  <r>
    <s v="Call_8013"/>
    <s v="C0004"/>
    <n v="129"/>
    <s v="R01"/>
    <d v="2023-09-22T00:00:00"/>
    <n v="93"/>
    <n v="4.7"/>
    <n v="2024"/>
    <s v="Friday"/>
    <s v="More than 2 hours"/>
    <n v="5"/>
  </r>
  <r>
    <s v="Call_8014"/>
    <s v="C0010"/>
    <n v="120"/>
    <s v="R05"/>
    <d v="2023-09-22T00:00:00"/>
    <n v="38"/>
    <n v="4.2"/>
    <n v="2024"/>
    <s v="Friday"/>
    <s v="1 to 2 hours"/>
    <n v="4"/>
  </r>
  <r>
    <s v="Call_8015"/>
    <s v="C0005"/>
    <n v="108"/>
    <s v="R01"/>
    <d v="2023-09-23T00:00:00"/>
    <n v="66"/>
    <n v="3.9"/>
    <n v="2024"/>
    <s v="Saturday"/>
    <s v="1 to 2 hours"/>
    <n v="4"/>
  </r>
  <r>
    <s v="Call_8016"/>
    <s v="C0007"/>
    <n v="79"/>
    <s v="R05"/>
    <d v="2023-09-23T00:00:00"/>
    <n v="215"/>
    <n v="4.5999999999999996"/>
    <n v="2024"/>
    <s v="Saturday"/>
    <s v="1 to 2 hours"/>
    <n v="5"/>
  </r>
  <r>
    <s v="Call_8017"/>
    <s v="C0007"/>
    <n v="45"/>
    <s v="R01"/>
    <d v="2023-09-23T00:00:00"/>
    <n v="92"/>
    <n v="4.3"/>
    <n v="2024"/>
    <s v="Saturday"/>
    <s v="30 to 60 mins"/>
    <n v="4"/>
  </r>
  <r>
    <s v="Call_8018"/>
    <s v="C0011"/>
    <n v="96"/>
    <s v="R05"/>
    <d v="2023-09-23T00:00:00"/>
    <n v="80"/>
    <n v="3.6"/>
    <n v="2024"/>
    <s v="Saturday"/>
    <s v="1 to 2 hours"/>
    <n v="4"/>
  </r>
  <r>
    <s v="Call_8019"/>
    <s v="C0011"/>
    <n v="81"/>
    <s v="R05"/>
    <d v="2023-09-24T00:00:00"/>
    <n v="123"/>
    <n v="4.9000000000000004"/>
    <n v="2024"/>
    <s v="Sunday"/>
    <s v="1 to 2 hours"/>
    <n v="5"/>
  </r>
  <r>
    <s v="Call_8020"/>
    <s v="C0012"/>
    <n v="95"/>
    <s v="R04"/>
    <d v="2023-09-24T00:00:00"/>
    <n v="23"/>
    <n v="2.4"/>
    <n v="2024"/>
    <s v="Sunday"/>
    <s v="1 to 2 hours"/>
    <n v="2"/>
  </r>
  <r>
    <s v="Call_8021"/>
    <s v="C0015"/>
    <n v="159"/>
    <s v="R02"/>
    <d v="2023-09-24T00:00:00"/>
    <n v="63"/>
    <n v="4.2"/>
    <n v="2024"/>
    <s v="Sunday"/>
    <s v="More than 2 hours"/>
    <n v="4"/>
  </r>
  <r>
    <s v="Call_8022"/>
    <s v="C0008"/>
    <n v="109"/>
    <s v="R03"/>
    <d v="2023-09-24T00:00:00"/>
    <n v="52"/>
    <n v="3.9"/>
    <n v="2024"/>
    <s v="Sunday"/>
    <s v="1 to 2 hours"/>
    <n v="4"/>
  </r>
  <r>
    <s v="Call_8023"/>
    <s v="C0007"/>
    <n v="107"/>
    <s v="R03"/>
    <d v="2023-09-24T00:00:00"/>
    <n v="60"/>
    <n v="4.2"/>
    <n v="2024"/>
    <s v="Sunday"/>
    <s v="1 to 2 hours"/>
    <n v="4"/>
  </r>
  <r>
    <s v="Call_8024"/>
    <s v="C0011"/>
    <n v="67"/>
    <s v="R01"/>
    <d v="2023-09-25T00:00:00"/>
    <n v="87"/>
    <n v="3.9"/>
    <n v="2024"/>
    <s v="Monday"/>
    <s v="1 to 2 hours"/>
    <n v="4"/>
  </r>
  <r>
    <s v="Call_8025"/>
    <s v="C0002"/>
    <n v="96"/>
    <s v="R05"/>
    <d v="2023-09-26T00:00:00"/>
    <n v="42"/>
    <n v="4.5"/>
    <n v="2024"/>
    <s v="Tuesday"/>
    <s v="1 to 2 hours"/>
    <n v="5"/>
  </r>
  <r>
    <s v="Call_8026"/>
    <s v="C0006"/>
    <n v="142"/>
    <s v="R02"/>
    <d v="2023-09-27T00:00:00"/>
    <n v="37"/>
    <n v="3.8"/>
    <n v="2024"/>
    <s v="Wednesday"/>
    <s v="More than 2 hours"/>
    <n v="4"/>
  </r>
  <r>
    <s v="Call_8027"/>
    <s v="C0006"/>
    <n v="71"/>
    <s v="R04"/>
    <d v="2023-09-27T00:00:00"/>
    <n v="135"/>
    <n v="3.9"/>
    <n v="2024"/>
    <s v="Wednesday"/>
    <s v="1 to 2 hours"/>
    <n v="4"/>
  </r>
  <r>
    <s v="Call_8028"/>
    <s v="C0002"/>
    <n v="152"/>
    <s v="R04"/>
    <d v="2023-09-27T00:00:00"/>
    <n v="88"/>
    <n v="4.7"/>
    <n v="2024"/>
    <s v="Wednesday"/>
    <s v="More than 2 hours"/>
    <n v="5"/>
  </r>
  <r>
    <s v="Call_8029"/>
    <s v="C0001"/>
    <n v="108"/>
    <s v="R02"/>
    <d v="2023-09-27T00:00:00"/>
    <n v="190"/>
    <n v="3.2"/>
    <n v="2024"/>
    <s v="Wednesday"/>
    <s v="1 to 2 hours"/>
    <n v="3"/>
  </r>
  <r>
    <s v="Call_8030"/>
    <s v="C0001"/>
    <n v="156"/>
    <s v="R04"/>
    <d v="2023-09-27T00:00:00"/>
    <n v="81"/>
    <n v="5"/>
    <n v="2024"/>
    <s v="Wednesday"/>
    <s v="More than 2 hours"/>
    <n v="5"/>
  </r>
  <r>
    <s v="Call_8031"/>
    <s v="C0006"/>
    <n v="126"/>
    <s v="R02"/>
    <d v="2023-09-27T00:00:00"/>
    <n v="44"/>
    <n v="3.7"/>
    <n v="2024"/>
    <s v="Wednesday"/>
    <s v="More than 2 hours"/>
    <n v="4"/>
  </r>
  <r>
    <s v="Call_8032"/>
    <s v="C0005"/>
    <n v="135"/>
    <s v="R04"/>
    <d v="2023-09-28T00:00:00"/>
    <n v="92"/>
    <n v="3.9"/>
    <n v="2024"/>
    <s v="Thursday"/>
    <s v="More than 2 hours"/>
    <n v="4"/>
  </r>
  <r>
    <s v="Call_8033"/>
    <s v="C0006"/>
    <n v="110"/>
    <s v="R05"/>
    <d v="2023-09-29T00:00:00"/>
    <n v="90"/>
    <n v="3.1"/>
    <n v="2024"/>
    <s v="Friday"/>
    <s v="1 to 2 hours"/>
    <n v="3"/>
  </r>
  <r>
    <s v="Call_8034"/>
    <s v="C0015"/>
    <n v="64"/>
    <s v="R04"/>
    <d v="2023-09-29T00:00:00"/>
    <n v="112"/>
    <n v="2"/>
    <n v="2024"/>
    <s v="Friday"/>
    <s v="1 to 2 hours"/>
    <n v="2"/>
  </r>
  <r>
    <s v="Call_8035"/>
    <s v="C0009"/>
    <n v="127"/>
    <s v="R02"/>
    <d v="2023-09-29T00:00:00"/>
    <n v="112"/>
    <n v="4.5999999999999996"/>
    <n v="2024"/>
    <s v="Friday"/>
    <s v="More than 2 hours"/>
    <n v="5"/>
  </r>
  <r>
    <s v="Call_8036"/>
    <s v="C0008"/>
    <n v="124"/>
    <s v="R01"/>
    <d v="2023-09-29T00:00:00"/>
    <n v="48"/>
    <n v="3.7"/>
    <n v="2024"/>
    <s v="Friday"/>
    <s v="More than 2 hours"/>
    <n v="4"/>
  </r>
  <r>
    <s v="Call_8037"/>
    <s v="C0015"/>
    <n v="125"/>
    <s v="R02"/>
    <d v="2023-09-29T00:00:00"/>
    <n v="116"/>
    <n v="4.4000000000000004"/>
    <n v="2024"/>
    <s v="Friday"/>
    <s v="More than 2 hours"/>
    <n v="4"/>
  </r>
  <r>
    <s v="Call_8038"/>
    <s v="C0004"/>
    <n v="70"/>
    <s v="R02"/>
    <d v="2023-09-29T00:00:00"/>
    <n v="29"/>
    <n v="2.1"/>
    <n v="2024"/>
    <s v="Friday"/>
    <s v="1 to 2 hours"/>
    <n v="2"/>
  </r>
  <r>
    <s v="Call_8039"/>
    <s v="C0009"/>
    <n v="93"/>
    <s v="R04"/>
    <d v="2023-09-30T00:00:00"/>
    <n v="170"/>
    <n v="2.2000000000000002"/>
    <n v="2024"/>
    <s v="Saturday"/>
    <s v="1 to 2 hours"/>
    <n v="2"/>
  </r>
  <r>
    <s v="Call_8040"/>
    <s v="C0004"/>
    <n v="120"/>
    <s v="R03"/>
    <d v="2023-09-30T00:00:00"/>
    <n v="68"/>
    <n v="3.4"/>
    <n v="2024"/>
    <s v="Saturday"/>
    <s v="1 to 2 hours"/>
    <n v="3"/>
  </r>
  <r>
    <s v="Call_8041"/>
    <s v="C0011"/>
    <n v="96"/>
    <s v="R05"/>
    <d v="2023-09-30T00:00:00"/>
    <n v="195"/>
    <n v="2.7"/>
    <n v="2024"/>
    <s v="Saturday"/>
    <s v="1 to 2 hours"/>
    <n v="3"/>
  </r>
  <r>
    <s v="Call_8042"/>
    <s v="C0014"/>
    <n v="67"/>
    <s v="R05"/>
    <d v="2023-09-30T00:00:00"/>
    <n v="96"/>
    <n v="3.7"/>
    <n v="2024"/>
    <s v="Saturday"/>
    <s v="1 to 2 hours"/>
    <n v="4"/>
  </r>
  <r>
    <s v="Call_8043"/>
    <s v="C0015"/>
    <n v="119"/>
    <s v="R05"/>
    <d v="2023-09-30T00:00:00"/>
    <n v="96"/>
    <n v="3.1"/>
    <n v="2024"/>
    <s v="Saturday"/>
    <s v="1 to 2 hours"/>
    <n v="3"/>
  </r>
  <r>
    <s v="Call_8044"/>
    <s v="C0008"/>
    <n v="61"/>
    <s v="R01"/>
    <d v="2023-09-30T00:00:00"/>
    <n v="117"/>
    <n v="4.0999999999999996"/>
    <n v="2024"/>
    <s v="Saturday"/>
    <s v="1 to 2 hours"/>
    <n v="4"/>
  </r>
  <r>
    <s v="Call_8045"/>
    <s v="C0011"/>
    <n v="29"/>
    <s v="R04"/>
    <d v="2023-09-30T00:00:00"/>
    <n v="80"/>
    <n v="4.8"/>
    <n v="2024"/>
    <s v="Saturday"/>
    <s v="10 to 30 mins"/>
    <n v="5"/>
  </r>
  <r>
    <s v="Call_8046"/>
    <s v="C0002"/>
    <n v="134"/>
    <s v="R03"/>
    <d v="2023-09-30T00:00:00"/>
    <n v="117"/>
    <n v="4"/>
    <n v="2024"/>
    <s v="Saturday"/>
    <s v="More than 2 hours"/>
    <n v="4"/>
  </r>
  <r>
    <s v="Call_8047"/>
    <s v="C0006"/>
    <n v="113"/>
    <s v="R05"/>
    <d v="2023-10-01T00:00:00"/>
    <n v="40"/>
    <n v="3"/>
    <n v="2024"/>
    <s v="Sunday"/>
    <s v="1 to 2 hours"/>
    <n v="3"/>
  </r>
  <r>
    <s v="Call_8048"/>
    <s v="C0001"/>
    <n v="12"/>
    <s v="R03"/>
    <d v="2023-10-01T00:00:00"/>
    <n v="117"/>
    <n v="4.8"/>
    <n v="2024"/>
    <s v="Sunday"/>
    <s v="10 to 30 mins"/>
    <n v="5"/>
  </r>
  <r>
    <s v="Call_8049"/>
    <s v="C0013"/>
    <n v="78"/>
    <s v="R04"/>
    <d v="2023-10-01T00:00:00"/>
    <n v="135"/>
    <n v="4.0999999999999996"/>
    <n v="2024"/>
    <s v="Sunday"/>
    <s v="1 to 2 hours"/>
    <n v="4"/>
  </r>
  <r>
    <s v="Call_8050"/>
    <s v="C0015"/>
    <n v="82"/>
    <s v="R02"/>
    <d v="2023-10-01T00:00:00"/>
    <n v="99"/>
    <n v="4.2"/>
    <n v="2024"/>
    <s v="Sunday"/>
    <s v="1 to 2 hours"/>
    <n v="4"/>
  </r>
  <r>
    <s v="Call_8051"/>
    <s v="C0010"/>
    <n v="149"/>
    <s v="R01"/>
    <d v="2023-10-01T00:00:00"/>
    <n v="130"/>
    <n v="3.3"/>
    <n v="2024"/>
    <s v="Sunday"/>
    <s v="More than 2 hours"/>
    <n v="3"/>
  </r>
  <r>
    <s v="Call_8052"/>
    <s v="C0007"/>
    <n v="56"/>
    <s v="R03"/>
    <d v="2023-10-01T00:00:00"/>
    <n v="96"/>
    <n v="4.7"/>
    <n v="2024"/>
    <s v="Sunday"/>
    <s v="30 to 60 mins"/>
    <n v="5"/>
  </r>
  <r>
    <s v="Call_8053"/>
    <s v="C0011"/>
    <n v="80"/>
    <s v="R01"/>
    <d v="2023-10-01T00:00:00"/>
    <n v="128"/>
    <n v="3.7"/>
    <n v="2024"/>
    <s v="Sunday"/>
    <s v="1 to 2 hours"/>
    <n v="4"/>
  </r>
  <r>
    <s v="Call_8054"/>
    <s v="C0008"/>
    <n v="131"/>
    <s v="R05"/>
    <d v="2023-10-01T00:00:00"/>
    <n v="69"/>
    <n v="4.7"/>
    <n v="2024"/>
    <s v="Sunday"/>
    <s v="More than 2 hours"/>
    <n v="5"/>
  </r>
  <r>
    <s v="Call_8055"/>
    <s v="C0008"/>
    <n v="109"/>
    <s v="R05"/>
    <d v="2023-10-01T00:00:00"/>
    <n v="44"/>
    <n v="4.5999999999999996"/>
    <n v="2024"/>
    <s v="Sunday"/>
    <s v="1 to 2 hours"/>
    <n v="5"/>
  </r>
  <r>
    <s v="Call_8056"/>
    <s v="C0007"/>
    <n v="142"/>
    <s v="R05"/>
    <d v="2023-10-01T00:00:00"/>
    <n v="44"/>
    <n v="4.8"/>
    <n v="2024"/>
    <s v="Sunday"/>
    <s v="More than 2 hours"/>
    <n v="5"/>
  </r>
  <r>
    <s v="Call_8057"/>
    <s v="C0009"/>
    <n v="114"/>
    <s v="R03"/>
    <d v="2023-10-02T00:00:00"/>
    <n v="135"/>
    <n v="2"/>
    <n v="2024"/>
    <s v="Monday"/>
    <s v="1 to 2 hours"/>
    <n v="2"/>
  </r>
  <r>
    <s v="Call_8058"/>
    <s v="C0014"/>
    <n v="93"/>
    <s v="R01"/>
    <d v="2023-10-02T00:00:00"/>
    <n v="45"/>
    <n v="3.9"/>
    <n v="2024"/>
    <s v="Monday"/>
    <s v="1 to 2 hours"/>
    <n v="4"/>
  </r>
  <r>
    <s v="Call_8059"/>
    <s v="C0001"/>
    <n v="43"/>
    <s v="R01"/>
    <d v="2023-10-02T00:00:00"/>
    <n v="87"/>
    <n v="3"/>
    <n v="2024"/>
    <s v="Monday"/>
    <s v="30 to 60 mins"/>
    <n v="3"/>
  </r>
  <r>
    <s v="Call_8060"/>
    <s v="C0002"/>
    <n v="78"/>
    <s v="R04"/>
    <d v="2023-10-03T00:00:00"/>
    <n v="84"/>
    <n v="4.5999999999999996"/>
    <n v="2024"/>
    <s v="Tuesday"/>
    <s v="1 to 2 hours"/>
    <n v="5"/>
  </r>
  <r>
    <s v="Call_8061"/>
    <s v="C0009"/>
    <n v="89"/>
    <s v="R05"/>
    <d v="2023-10-03T00:00:00"/>
    <n v="81"/>
    <n v="3.8"/>
    <n v="2024"/>
    <s v="Tuesday"/>
    <s v="1 to 2 hours"/>
    <n v="4"/>
  </r>
  <r>
    <s v="Call_8062"/>
    <s v="C0007"/>
    <n v="82"/>
    <s v="R02"/>
    <d v="2023-10-03T00:00:00"/>
    <n v="130"/>
    <n v="4.4000000000000004"/>
    <n v="2024"/>
    <s v="Tuesday"/>
    <s v="1 to 2 hours"/>
    <n v="4"/>
  </r>
  <r>
    <s v="Call_8063"/>
    <s v="C0011"/>
    <n v="86"/>
    <s v="R05"/>
    <d v="2023-10-04T00:00:00"/>
    <n v="92"/>
    <n v="2.4"/>
    <n v="2024"/>
    <s v="Wednesday"/>
    <s v="1 to 2 hours"/>
    <n v="2"/>
  </r>
  <r>
    <s v="Call_8064"/>
    <s v="C0012"/>
    <n v="57"/>
    <s v="R04"/>
    <d v="2023-10-04T00:00:00"/>
    <n v="48"/>
    <n v="4.5"/>
    <n v="2024"/>
    <s v="Wednesday"/>
    <s v="30 to 60 mins"/>
    <n v="5"/>
  </r>
  <r>
    <s v="Call_8065"/>
    <s v="C0014"/>
    <n v="103"/>
    <s v="R03"/>
    <d v="2023-10-04T00:00:00"/>
    <n v="160"/>
    <n v="4.5"/>
    <n v="2024"/>
    <s v="Wednesday"/>
    <s v="1 to 2 hours"/>
    <n v="5"/>
  </r>
  <r>
    <s v="Call_8066"/>
    <s v="C0013"/>
    <n v="138"/>
    <s v="R04"/>
    <d v="2023-10-05T00:00:00"/>
    <n v="155"/>
    <n v="2.7"/>
    <n v="2024"/>
    <s v="Thursday"/>
    <s v="More than 2 hours"/>
    <n v="3"/>
  </r>
  <r>
    <s v="Call_8067"/>
    <s v="C0010"/>
    <n v="88"/>
    <s v="R02"/>
    <d v="2023-10-05T00:00:00"/>
    <n v="100"/>
    <n v="4.9000000000000004"/>
    <n v="2024"/>
    <s v="Thursday"/>
    <s v="1 to 2 hours"/>
    <n v="5"/>
  </r>
  <r>
    <s v="Call_8068"/>
    <s v="C0009"/>
    <n v="118"/>
    <s v="R01"/>
    <d v="2023-10-05T00:00:00"/>
    <n v="56"/>
    <n v="3.7"/>
    <n v="2024"/>
    <s v="Thursday"/>
    <s v="1 to 2 hours"/>
    <n v="4"/>
  </r>
  <r>
    <s v="Call_8069"/>
    <s v="C0011"/>
    <n v="4"/>
    <s v="R05"/>
    <d v="2023-10-05T00:00:00"/>
    <n v="170"/>
    <n v="3.9"/>
    <n v="2024"/>
    <s v="Thursday"/>
    <s v="Under 10 mins"/>
    <n v="4"/>
  </r>
  <r>
    <s v="Call_8070"/>
    <s v="C0001"/>
    <n v="78"/>
    <s v="R03"/>
    <d v="2023-10-06T00:00:00"/>
    <n v="74"/>
    <n v="3.5"/>
    <n v="2024"/>
    <s v="Friday"/>
    <s v="1 to 2 hours"/>
    <n v="4"/>
  </r>
  <r>
    <s v="Call_8071"/>
    <s v="C0006"/>
    <n v="69"/>
    <s v="R05"/>
    <d v="2023-10-06T00:00:00"/>
    <n v="99"/>
    <n v="2.7"/>
    <n v="2024"/>
    <s v="Friday"/>
    <s v="1 to 2 hours"/>
    <n v="3"/>
  </r>
  <r>
    <s v="Call_8072"/>
    <s v="C0007"/>
    <n v="90"/>
    <s v="R04"/>
    <d v="2023-10-06T00:00:00"/>
    <n v="84"/>
    <n v="3.9"/>
    <n v="2024"/>
    <s v="Friday"/>
    <s v="1 to 2 hours"/>
    <n v="4"/>
  </r>
  <r>
    <s v="Call_8073"/>
    <s v="C0006"/>
    <n v="134"/>
    <s v="R05"/>
    <d v="2023-10-06T00:00:00"/>
    <n v="35"/>
    <n v="3.4"/>
    <n v="2024"/>
    <s v="Friday"/>
    <s v="More than 2 hours"/>
    <n v="3"/>
  </r>
  <r>
    <s v="Call_8074"/>
    <s v="C0004"/>
    <n v="65"/>
    <s v="R01"/>
    <d v="2023-10-06T00:00:00"/>
    <n v="150"/>
    <n v="5"/>
    <n v="2024"/>
    <s v="Friday"/>
    <s v="1 to 2 hours"/>
    <n v="5"/>
  </r>
  <r>
    <s v="Call_8075"/>
    <s v="C0005"/>
    <n v="54"/>
    <s v="R03"/>
    <d v="2023-10-07T00:00:00"/>
    <n v="176"/>
    <n v="4.4000000000000004"/>
    <n v="2024"/>
    <s v="Saturday"/>
    <s v="30 to 60 mins"/>
    <n v="4"/>
  </r>
  <r>
    <s v="Call_8076"/>
    <s v="C0005"/>
    <n v="90"/>
    <s v="R03"/>
    <d v="2023-10-07T00:00:00"/>
    <n v="84"/>
    <n v="4.3"/>
    <n v="2024"/>
    <s v="Saturday"/>
    <s v="1 to 2 hours"/>
    <n v="4"/>
  </r>
  <r>
    <s v="Call_8077"/>
    <s v="C0007"/>
    <n v="66"/>
    <s v="R03"/>
    <d v="2023-10-07T00:00:00"/>
    <n v="136"/>
    <n v="4.7"/>
    <n v="2024"/>
    <s v="Saturday"/>
    <s v="1 to 2 hours"/>
    <n v="5"/>
  </r>
  <r>
    <s v="Call_8078"/>
    <s v="C0011"/>
    <n v="150"/>
    <s v="R03"/>
    <d v="2023-10-08T00:00:00"/>
    <n v="70"/>
    <n v="4.0999999999999996"/>
    <n v="2024"/>
    <s v="Sunday"/>
    <s v="More than 2 hours"/>
    <n v="4"/>
  </r>
  <r>
    <s v="Call_8079"/>
    <s v="C0002"/>
    <n v="18"/>
    <s v="R01"/>
    <d v="2023-10-08T00:00:00"/>
    <n v="96"/>
    <n v="4.8"/>
    <n v="2024"/>
    <s v="Sunday"/>
    <s v="10 to 30 mins"/>
    <n v="5"/>
  </r>
  <r>
    <s v="Call_8080"/>
    <s v="C0005"/>
    <n v="87"/>
    <s v="R01"/>
    <d v="2023-10-08T00:00:00"/>
    <n v="23"/>
    <n v="4.2"/>
    <n v="2024"/>
    <s v="Sunday"/>
    <s v="1 to 2 hours"/>
    <n v="4"/>
  </r>
  <r>
    <s v="Call_8081"/>
    <s v="C0013"/>
    <n v="94"/>
    <s v="R03"/>
    <d v="2023-10-09T00:00:00"/>
    <n v="120"/>
    <n v="3.4"/>
    <n v="2024"/>
    <s v="Monday"/>
    <s v="1 to 2 hours"/>
    <n v="3"/>
  </r>
  <r>
    <s v="Call_8082"/>
    <s v="C0012"/>
    <n v="56"/>
    <s v="R03"/>
    <d v="2023-10-09T00:00:00"/>
    <n v="205"/>
    <n v="3.3"/>
    <n v="2024"/>
    <s v="Monday"/>
    <s v="30 to 60 mins"/>
    <n v="3"/>
  </r>
  <r>
    <s v="Call_8083"/>
    <s v="C0009"/>
    <n v="41"/>
    <s v="R02"/>
    <d v="2023-10-10T00:00:00"/>
    <n v="42"/>
    <n v="3.8"/>
    <n v="2024"/>
    <s v="Tuesday"/>
    <s v="30 to 60 mins"/>
    <n v="4"/>
  </r>
  <r>
    <s v="Call_8084"/>
    <s v="C0011"/>
    <n v="119"/>
    <s v="R04"/>
    <d v="2023-10-10T00:00:00"/>
    <n v="111"/>
    <n v="3.9"/>
    <n v="2024"/>
    <s v="Tuesday"/>
    <s v="1 to 2 hours"/>
    <n v="4"/>
  </r>
  <r>
    <s v="Call_8085"/>
    <s v="C0014"/>
    <n v="108"/>
    <s v="R03"/>
    <d v="2023-10-10T00:00:00"/>
    <n v="68"/>
    <n v="2.5"/>
    <n v="2024"/>
    <s v="Tuesday"/>
    <s v="1 to 2 hours"/>
    <n v="3"/>
  </r>
  <r>
    <s v="Call_8086"/>
    <s v="C0001"/>
    <n v="63"/>
    <s v="R05"/>
    <d v="2023-10-10T00:00:00"/>
    <n v="172"/>
    <n v="4.9000000000000004"/>
    <n v="2024"/>
    <s v="Tuesday"/>
    <s v="1 to 2 hours"/>
    <n v="5"/>
  </r>
  <r>
    <s v="Call_8087"/>
    <s v="C0015"/>
    <n v="59"/>
    <s v="R03"/>
    <d v="2023-10-10T00:00:00"/>
    <n v="152"/>
    <n v="4.8"/>
    <n v="2024"/>
    <s v="Tuesday"/>
    <s v="30 to 60 mins"/>
    <n v="5"/>
  </r>
  <r>
    <s v="Call_8088"/>
    <s v="C0015"/>
    <n v="90"/>
    <s v="R02"/>
    <d v="2023-10-10T00:00:00"/>
    <n v="48"/>
    <n v="4.7"/>
    <n v="2024"/>
    <s v="Tuesday"/>
    <s v="1 to 2 hours"/>
    <n v="5"/>
  </r>
  <r>
    <s v="Call_8089"/>
    <s v="C0010"/>
    <n v="55"/>
    <s v="R02"/>
    <d v="2023-10-10T00:00:00"/>
    <n v="25"/>
    <n v="4.7"/>
    <n v="2024"/>
    <s v="Tuesday"/>
    <s v="30 to 60 mins"/>
    <n v="5"/>
  </r>
  <r>
    <s v="Call_8090"/>
    <s v="C0014"/>
    <n v="84"/>
    <s v="R04"/>
    <d v="2023-10-11T00:00:00"/>
    <n v="54"/>
    <n v="3.3"/>
    <n v="2024"/>
    <s v="Wednesday"/>
    <s v="1 to 2 hours"/>
    <n v="3"/>
  </r>
  <r>
    <s v="Call_8091"/>
    <s v="C0014"/>
    <n v="150"/>
    <s v="R01"/>
    <d v="2023-10-11T00:00:00"/>
    <n v="108"/>
    <n v="4.7"/>
    <n v="2024"/>
    <s v="Wednesday"/>
    <s v="More than 2 hours"/>
    <n v="5"/>
  </r>
  <r>
    <s v="Call_8092"/>
    <s v="C0008"/>
    <n v="69"/>
    <s v="R03"/>
    <d v="2023-10-11T00:00:00"/>
    <n v="36"/>
    <n v="4.5"/>
    <n v="2024"/>
    <s v="Wednesday"/>
    <s v="1 to 2 hours"/>
    <n v="5"/>
  </r>
  <r>
    <s v="Call_8093"/>
    <s v="C0003"/>
    <n v="120"/>
    <s v="R02"/>
    <d v="2023-10-12T00:00:00"/>
    <n v="140"/>
    <n v="4.5999999999999996"/>
    <n v="2024"/>
    <s v="Thursday"/>
    <s v="1 to 2 hours"/>
    <n v="5"/>
  </r>
  <r>
    <s v="Call_8094"/>
    <s v="C0005"/>
    <n v="126"/>
    <s v="R04"/>
    <d v="2023-10-12T00:00:00"/>
    <n v="50"/>
    <n v="4.8"/>
    <n v="2024"/>
    <s v="Thursday"/>
    <s v="More than 2 hours"/>
    <n v="5"/>
  </r>
  <r>
    <s v="Call_8095"/>
    <s v="C0008"/>
    <n v="120"/>
    <s v="R05"/>
    <d v="2023-10-12T00:00:00"/>
    <n v="195"/>
    <n v="4.3"/>
    <n v="2024"/>
    <s v="Thursday"/>
    <s v="1 to 2 hours"/>
    <n v="4"/>
  </r>
  <r>
    <s v="Call_8096"/>
    <s v="C0005"/>
    <n v="139"/>
    <s v="R02"/>
    <d v="2023-10-13T00:00:00"/>
    <n v="48"/>
    <n v="4.7"/>
    <n v="2024"/>
    <s v="Friday"/>
    <s v="More than 2 hours"/>
    <n v="5"/>
  </r>
  <r>
    <s v="Call_8097"/>
    <s v="C0010"/>
    <n v="124"/>
    <s v="R03"/>
    <d v="2023-10-14T00:00:00"/>
    <n v="29"/>
    <n v="4.8"/>
    <n v="2024"/>
    <s v="Saturday"/>
    <s v="More than 2 hours"/>
    <n v="5"/>
  </r>
  <r>
    <s v="Call_8098"/>
    <s v="C0003"/>
    <n v="108"/>
    <s v="R05"/>
    <d v="2023-10-14T00:00:00"/>
    <n v="44"/>
    <n v="4.7"/>
    <n v="2024"/>
    <s v="Saturday"/>
    <s v="1 to 2 hours"/>
    <n v="5"/>
  </r>
  <r>
    <s v="Call_8099"/>
    <s v="C0004"/>
    <n v="132"/>
    <s v="R01"/>
    <d v="2023-10-14T00:00:00"/>
    <n v="140"/>
    <n v="4.3"/>
    <n v="2024"/>
    <s v="Saturday"/>
    <s v="More than 2 hours"/>
    <n v="4"/>
  </r>
  <r>
    <s v="Call_8100"/>
    <s v="C0001"/>
    <n v="67"/>
    <s v="R01"/>
    <d v="2023-10-14T00:00:00"/>
    <n v="105"/>
    <n v="3.8"/>
    <n v="2024"/>
    <s v="Saturday"/>
    <s v="1 to 2 hours"/>
    <n v="4"/>
  </r>
  <r>
    <s v="Call_8101"/>
    <s v="C0007"/>
    <n v="125"/>
    <s v="R01"/>
    <d v="2023-10-14T00:00:00"/>
    <n v="82"/>
    <n v="4.5999999999999996"/>
    <n v="2024"/>
    <s v="Saturday"/>
    <s v="More than 2 hours"/>
    <n v="5"/>
  </r>
  <r>
    <s v="Call_8102"/>
    <s v="C0003"/>
    <n v="23"/>
    <s v="R05"/>
    <d v="2023-10-14T00:00:00"/>
    <n v="24"/>
    <n v="2.9"/>
    <n v="2024"/>
    <s v="Saturday"/>
    <s v="10 to 30 mins"/>
    <n v="3"/>
  </r>
  <r>
    <s v="Call_8103"/>
    <s v="C0011"/>
    <n v="131"/>
    <s v="R03"/>
    <d v="2023-10-15T00:00:00"/>
    <n v="205"/>
    <n v="4.8"/>
    <n v="2024"/>
    <s v="Sunday"/>
    <s v="More than 2 hours"/>
    <n v="5"/>
  </r>
  <r>
    <s v="Call_8104"/>
    <s v="C0004"/>
    <n v="56"/>
    <s v="R02"/>
    <d v="2023-10-15T00:00:00"/>
    <n v="225"/>
    <n v="4.9000000000000004"/>
    <n v="2024"/>
    <s v="Sunday"/>
    <s v="30 to 60 mins"/>
    <n v="5"/>
  </r>
  <r>
    <s v="Call_8105"/>
    <s v="C0011"/>
    <n v="70"/>
    <s v="R03"/>
    <d v="2023-10-15T00:00:00"/>
    <n v="50"/>
    <n v="3.4"/>
    <n v="2024"/>
    <s v="Sunday"/>
    <s v="1 to 2 hours"/>
    <n v="3"/>
  </r>
  <r>
    <s v="Call_8106"/>
    <s v="C0011"/>
    <n v="55"/>
    <s v="R01"/>
    <d v="2023-10-15T00:00:00"/>
    <n v="80"/>
    <n v="4.3"/>
    <n v="2024"/>
    <s v="Sunday"/>
    <s v="30 to 60 mins"/>
    <n v="4"/>
  </r>
  <r>
    <s v="Call_8107"/>
    <s v="C0007"/>
    <n v="77"/>
    <s v="R02"/>
    <d v="2023-10-15T00:00:00"/>
    <n v="78"/>
    <n v="3.9"/>
    <n v="2024"/>
    <s v="Sunday"/>
    <s v="1 to 2 hours"/>
    <n v="4"/>
  </r>
  <r>
    <s v="Call_8108"/>
    <s v="C0014"/>
    <n v="133"/>
    <s v="R03"/>
    <d v="2023-10-16T00:00:00"/>
    <n v="40"/>
    <n v="3.9"/>
    <n v="2024"/>
    <s v="Monday"/>
    <s v="More than 2 hours"/>
    <n v="4"/>
  </r>
  <r>
    <s v="Call_8109"/>
    <s v="C0007"/>
    <n v="77"/>
    <s v="R02"/>
    <d v="2023-10-16T00:00:00"/>
    <n v="176"/>
    <n v="1.5"/>
    <n v="2024"/>
    <s v="Monday"/>
    <s v="1 to 2 hours"/>
    <n v="2"/>
  </r>
  <r>
    <s v="Call_8110"/>
    <s v="C0015"/>
    <n v="103"/>
    <s v="R03"/>
    <d v="2023-10-16T00:00:00"/>
    <n v="78"/>
    <n v="3"/>
    <n v="2024"/>
    <s v="Monday"/>
    <s v="1 to 2 hours"/>
    <n v="3"/>
  </r>
  <r>
    <s v="Call_8111"/>
    <s v="C0008"/>
    <n v="32"/>
    <s v="R02"/>
    <d v="2023-10-16T00:00:00"/>
    <n v="42"/>
    <n v="4.2"/>
    <n v="2024"/>
    <s v="Monday"/>
    <s v="30 to 60 mins"/>
    <n v="4"/>
  </r>
  <r>
    <s v="Call_8112"/>
    <s v="C0014"/>
    <n v="30"/>
    <s v="R03"/>
    <d v="2023-10-16T00:00:00"/>
    <n v="38"/>
    <n v="3.7"/>
    <n v="2024"/>
    <s v="Monday"/>
    <s v="10 to 30 mins"/>
    <n v="4"/>
  </r>
  <r>
    <s v="Call_8113"/>
    <s v="C0005"/>
    <n v="87"/>
    <s v="R04"/>
    <d v="2023-10-16T00:00:00"/>
    <n v="27"/>
    <n v="4.2"/>
    <n v="2024"/>
    <s v="Monday"/>
    <s v="1 to 2 hours"/>
    <n v="4"/>
  </r>
  <r>
    <s v="Call_8114"/>
    <s v="C0007"/>
    <n v="137"/>
    <s v="R05"/>
    <d v="2023-10-17T00:00:00"/>
    <n v="45"/>
    <n v="4.4000000000000004"/>
    <n v="2024"/>
    <s v="Tuesday"/>
    <s v="More than 2 hours"/>
    <n v="4"/>
  </r>
  <r>
    <s v="Call_8115"/>
    <s v="C0013"/>
    <n v="96"/>
    <s v="R03"/>
    <d v="2023-10-17T00:00:00"/>
    <n v="215"/>
    <n v="4"/>
    <n v="2024"/>
    <s v="Tuesday"/>
    <s v="1 to 2 hours"/>
    <n v="4"/>
  </r>
  <r>
    <s v="Call_8116"/>
    <s v="C0010"/>
    <n v="155"/>
    <s v="R03"/>
    <d v="2023-10-18T00:00:00"/>
    <n v="72"/>
    <n v="4.7"/>
    <n v="2024"/>
    <s v="Wednesday"/>
    <s v="More than 2 hours"/>
    <n v="5"/>
  </r>
  <r>
    <s v="Call_8117"/>
    <s v="C0014"/>
    <n v="173"/>
    <s v="R01"/>
    <d v="2023-10-18T00:00:00"/>
    <n v="160"/>
    <n v="2.8"/>
    <n v="2024"/>
    <s v="Wednesday"/>
    <s v="More than 2 hours"/>
    <n v="3"/>
  </r>
  <r>
    <s v="Call_8118"/>
    <s v="C0010"/>
    <n v="127"/>
    <s v="R03"/>
    <d v="2023-10-18T00:00:00"/>
    <n v="165"/>
    <n v="2.5"/>
    <n v="2024"/>
    <s v="Wednesday"/>
    <s v="More than 2 hours"/>
    <n v="3"/>
  </r>
  <r>
    <s v="Call_8119"/>
    <s v="C0004"/>
    <n v="117"/>
    <s v="R01"/>
    <d v="2023-10-18T00:00:00"/>
    <n v="120"/>
    <n v="3.4"/>
    <n v="2024"/>
    <s v="Wednesday"/>
    <s v="1 to 2 hours"/>
    <n v="3"/>
  </r>
  <r>
    <s v="Call_8120"/>
    <s v="C0003"/>
    <n v="133"/>
    <s v="R02"/>
    <d v="2023-10-18T00:00:00"/>
    <n v="117"/>
    <n v="4.8"/>
    <n v="2024"/>
    <s v="Wednesday"/>
    <s v="More than 2 hours"/>
    <n v="5"/>
  </r>
  <r>
    <s v="Call_8121"/>
    <s v="C0002"/>
    <n v="166"/>
    <s v="R04"/>
    <d v="2023-10-19T00:00:00"/>
    <n v="29"/>
    <n v="4.3"/>
    <n v="2024"/>
    <s v="Thursday"/>
    <s v="More than 2 hours"/>
    <n v="4"/>
  </r>
  <r>
    <s v="Call_8122"/>
    <s v="C0003"/>
    <n v="50"/>
    <s v="R01"/>
    <d v="2023-10-19T00:00:00"/>
    <n v="64"/>
    <n v="4.5"/>
    <n v="2024"/>
    <s v="Thursday"/>
    <s v="30 to 60 mins"/>
    <n v="5"/>
  </r>
  <r>
    <s v="Call_8123"/>
    <s v="C0015"/>
    <n v="43"/>
    <s v="R02"/>
    <d v="2023-10-19T00:00:00"/>
    <n v="84"/>
    <n v="3.6"/>
    <n v="2024"/>
    <s v="Thursday"/>
    <s v="30 to 60 mins"/>
    <n v="4"/>
  </r>
  <r>
    <s v="Call_8124"/>
    <s v="C0013"/>
    <n v="124"/>
    <s v="R03"/>
    <d v="2023-10-19T00:00:00"/>
    <n v="42"/>
    <n v="3.7"/>
    <n v="2024"/>
    <s v="Thursday"/>
    <s v="More than 2 hours"/>
    <n v="4"/>
  </r>
  <r>
    <s v="Call_8125"/>
    <s v="C0014"/>
    <n v="94"/>
    <s v="R03"/>
    <d v="2023-10-19T00:00:00"/>
    <n v="120"/>
    <n v="3.5"/>
    <n v="2024"/>
    <s v="Thursday"/>
    <s v="1 to 2 hours"/>
    <n v="4"/>
  </r>
  <r>
    <s v="Call_8126"/>
    <s v="C0015"/>
    <n v="126"/>
    <s v="R04"/>
    <d v="2023-10-20T00:00:00"/>
    <n v="80"/>
    <n v="4.7"/>
    <n v="2024"/>
    <s v="Friday"/>
    <s v="More than 2 hours"/>
    <n v="5"/>
  </r>
  <r>
    <s v="Call_8127"/>
    <s v="C0002"/>
    <n v="105"/>
    <s v="R01"/>
    <d v="2023-10-20T00:00:00"/>
    <n v="185"/>
    <n v="3.5"/>
    <n v="2024"/>
    <s v="Friday"/>
    <s v="1 to 2 hours"/>
    <n v="4"/>
  </r>
  <r>
    <s v="Call_8128"/>
    <s v="C0011"/>
    <n v="60"/>
    <s v="R05"/>
    <d v="2023-10-21T00:00:00"/>
    <n v="135"/>
    <n v="3.9"/>
    <n v="2024"/>
    <s v="Saturday"/>
    <s v="30 to 60 mins"/>
    <n v="4"/>
  </r>
  <r>
    <s v="Call_8129"/>
    <s v="C0011"/>
    <n v="72"/>
    <s v="R01"/>
    <d v="2023-10-21T00:00:00"/>
    <n v="20"/>
    <n v="4.8"/>
    <n v="2024"/>
    <s v="Saturday"/>
    <s v="1 to 2 hours"/>
    <n v="5"/>
  </r>
  <r>
    <s v="Call_8130"/>
    <s v="C0012"/>
    <n v="40"/>
    <s v="R01"/>
    <d v="2023-10-21T00:00:00"/>
    <n v="31"/>
    <n v="4"/>
    <n v="2024"/>
    <s v="Saturday"/>
    <s v="30 to 60 mins"/>
    <n v="4"/>
  </r>
  <r>
    <s v="Call_8131"/>
    <s v="C0008"/>
    <n v="54"/>
    <s v="R04"/>
    <d v="2023-10-22T00:00:00"/>
    <n v="120"/>
    <n v="4.7"/>
    <n v="2024"/>
    <s v="Sunday"/>
    <s v="30 to 60 mins"/>
    <n v="5"/>
  </r>
  <r>
    <s v="Call_8132"/>
    <s v="C0004"/>
    <n v="81"/>
    <s v="R02"/>
    <d v="2023-10-22T00:00:00"/>
    <n v="117"/>
    <n v="3.6"/>
    <n v="2024"/>
    <s v="Sunday"/>
    <s v="1 to 2 hours"/>
    <n v="4"/>
  </r>
  <r>
    <s v="Call_8133"/>
    <s v="C0008"/>
    <n v="76"/>
    <s v="R03"/>
    <d v="2023-10-22T00:00:00"/>
    <n v="80"/>
    <n v="4.5"/>
    <n v="2024"/>
    <s v="Sunday"/>
    <s v="1 to 2 hours"/>
    <n v="5"/>
  </r>
  <r>
    <s v="Call_8134"/>
    <s v="C0008"/>
    <n v="37"/>
    <s v="R05"/>
    <d v="2023-10-23T00:00:00"/>
    <n v="117"/>
    <n v="4"/>
    <n v="2024"/>
    <s v="Monday"/>
    <s v="30 to 60 mins"/>
    <n v="4"/>
  </r>
  <r>
    <s v="Call_8135"/>
    <s v="C0002"/>
    <n v="96"/>
    <s v="R04"/>
    <d v="2023-10-23T00:00:00"/>
    <n v="60"/>
    <n v="4.5"/>
    <n v="2024"/>
    <s v="Monday"/>
    <s v="1 to 2 hours"/>
    <n v="5"/>
  </r>
  <r>
    <s v="Call_8136"/>
    <s v="C0011"/>
    <n v="19"/>
    <s v="R03"/>
    <d v="2023-10-24T00:00:00"/>
    <n v="58"/>
    <n v="3.9"/>
    <n v="2024"/>
    <s v="Tuesday"/>
    <s v="10 to 30 mins"/>
    <n v="4"/>
  </r>
  <r>
    <s v="Call_8137"/>
    <s v="C0012"/>
    <n v="72"/>
    <s v="R05"/>
    <d v="2023-10-24T00:00:00"/>
    <n v="41"/>
    <n v="4.3"/>
    <n v="2024"/>
    <s v="Tuesday"/>
    <s v="1 to 2 hours"/>
    <n v="4"/>
  </r>
  <r>
    <s v="Call_8138"/>
    <s v="C0014"/>
    <n v="73"/>
    <s v="R02"/>
    <d v="2023-10-24T00:00:00"/>
    <n v="180"/>
    <n v="3.6"/>
    <n v="2024"/>
    <s v="Tuesday"/>
    <s v="1 to 2 hours"/>
    <n v="4"/>
  </r>
  <r>
    <s v="Call_8139"/>
    <s v="C0001"/>
    <n v="87"/>
    <s v="R02"/>
    <d v="2023-10-24T00:00:00"/>
    <n v="42"/>
    <n v="3.6"/>
    <n v="2024"/>
    <s v="Tuesday"/>
    <s v="1 to 2 hours"/>
    <n v="4"/>
  </r>
  <r>
    <s v="Call_8140"/>
    <s v="C0001"/>
    <n v="68"/>
    <s v="R02"/>
    <d v="2023-10-25T00:00:00"/>
    <n v="24"/>
    <n v="4"/>
    <n v="2024"/>
    <s v="Wednesday"/>
    <s v="1 to 2 hours"/>
    <n v="4"/>
  </r>
  <r>
    <s v="Call_8141"/>
    <s v="C0012"/>
    <n v="101"/>
    <s v="R02"/>
    <d v="2023-10-25T00:00:00"/>
    <n v="125"/>
    <n v="4.2"/>
    <n v="2024"/>
    <s v="Wednesday"/>
    <s v="1 to 2 hours"/>
    <n v="4"/>
  </r>
  <r>
    <s v="Call_8142"/>
    <s v="C0012"/>
    <n v="107"/>
    <s v="R05"/>
    <d v="2023-10-26T00:00:00"/>
    <n v="78"/>
    <n v="4.3"/>
    <n v="2024"/>
    <s v="Thursday"/>
    <s v="1 to 2 hours"/>
    <n v="4"/>
  </r>
  <r>
    <s v="Call_8143"/>
    <s v="C0009"/>
    <n v="109"/>
    <s v="R01"/>
    <d v="2023-10-26T00:00:00"/>
    <n v="180"/>
    <n v="3.8"/>
    <n v="2024"/>
    <s v="Thursday"/>
    <s v="1 to 2 hours"/>
    <n v="4"/>
  </r>
  <r>
    <s v="Call_8144"/>
    <s v="C0013"/>
    <n v="171"/>
    <s v="R05"/>
    <d v="2023-10-26T00:00:00"/>
    <n v="84"/>
    <n v="4.4000000000000004"/>
    <n v="2024"/>
    <s v="Thursday"/>
    <s v="More than 2 hours"/>
    <n v="4"/>
  </r>
  <r>
    <s v="Call_8145"/>
    <s v="C0011"/>
    <n v="21"/>
    <s v="R05"/>
    <d v="2023-10-26T00:00:00"/>
    <n v="26"/>
    <n v="4.7"/>
    <n v="2024"/>
    <s v="Thursday"/>
    <s v="10 to 30 mins"/>
    <n v="5"/>
  </r>
  <r>
    <s v="Call_8146"/>
    <s v="C0004"/>
    <n v="94"/>
    <s v="R05"/>
    <d v="2023-10-27T00:00:00"/>
    <n v="140"/>
    <n v="3.6"/>
    <n v="2024"/>
    <s v="Friday"/>
    <s v="1 to 2 hours"/>
    <n v="4"/>
  </r>
  <r>
    <s v="Call_8147"/>
    <s v="C0014"/>
    <n v="97"/>
    <s v="R01"/>
    <d v="2023-10-27T00:00:00"/>
    <n v="31"/>
    <n v="2.2000000000000002"/>
    <n v="2024"/>
    <s v="Friday"/>
    <s v="1 to 2 hours"/>
    <n v="2"/>
  </r>
  <r>
    <s v="Call_8148"/>
    <s v="C0002"/>
    <n v="72"/>
    <s v="R01"/>
    <d v="2023-10-27T00:00:00"/>
    <n v="108"/>
    <n v="4.8"/>
    <n v="2024"/>
    <s v="Friday"/>
    <s v="1 to 2 hours"/>
    <n v="5"/>
  </r>
  <r>
    <s v="Call_8149"/>
    <s v="C0013"/>
    <n v="143"/>
    <s v="R04"/>
    <d v="2023-10-28T00:00:00"/>
    <n v="58"/>
    <n v="4.3"/>
    <n v="2024"/>
    <s v="Saturday"/>
    <s v="More than 2 hours"/>
    <n v="4"/>
  </r>
  <r>
    <s v="Call_8150"/>
    <s v="C0013"/>
    <n v="64"/>
    <s v="R01"/>
    <d v="2023-10-28T00:00:00"/>
    <n v="185"/>
    <n v="2.2000000000000002"/>
    <n v="2024"/>
    <s v="Saturday"/>
    <s v="1 to 2 hours"/>
    <n v="2"/>
  </r>
  <r>
    <s v="Call_8151"/>
    <s v="C0013"/>
    <n v="69"/>
    <s v="R01"/>
    <d v="2023-10-28T00:00:00"/>
    <n v="40"/>
    <n v="4.8"/>
    <n v="2024"/>
    <s v="Saturday"/>
    <s v="1 to 2 hours"/>
    <n v="5"/>
  </r>
  <r>
    <s v="Call_8152"/>
    <s v="C0013"/>
    <n v="18"/>
    <s v="R03"/>
    <d v="2023-10-28T00:00:00"/>
    <n v="225"/>
    <n v="2.6"/>
    <n v="2024"/>
    <s v="Saturday"/>
    <s v="10 to 30 mins"/>
    <n v="3"/>
  </r>
  <r>
    <s v="Call_8153"/>
    <s v="C0014"/>
    <n v="100"/>
    <s v="R04"/>
    <d v="2023-10-28T00:00:00"/>
    <n v="150"/>
    <n v="2.6"/>
    <n v="2024"/>
    <s v="Saturday"/>
    <s v="1 to 2 hours"/>
    <n v="3"/>
  </r>
  <r>
    <s v="Call_8154"/>
    <s v="C0010"/>
    <n v="110"/>
    <s v="R02"/>
    <d v="2023-10-29T00:00:00"/>
    <n v="88"/>
    <n v="3.4"/>
    <n v="2024"/>
    <s v="Sunday"/>
    <s v="1 to 2 hours"/>
    <n v="3"/>
  </r>
  <r>
    <s v="Call_8155"/>
    <s v="C0006"/>
    <n v="41"/>
    <s v="R05"/>
    <d v="2023-10-29T00:00:00"/>
    <n v="140"/>
    <n v="3.7"/>
    <n v="2024"/>
    <s v="Sunday"/>
    <s v="30 to 60 mins"/>
    <n v="4"/>
  </r>
  <r>
    <s v="Call_8156"/>
    <s v="C0010"/>
    <n v="147"/>
    <s v="R02"/>
    <d v="2023-10-29T00:00:00"/>
    <n v="68"/>
    <n v="2.1"/>
    <n v="2024"/>
    <s v="Sunday"/>
    <s v="More than 2 hours"/>
    <n v="2"/>
  </r>
  <r>
    <s v="Call_8157"/>
    <s v="C0004"/>
    <n v="31"/>
    <s v="R03"/>
    <d v="2023-10-30T00:00:00"/>
    <n v="105"/>
    <n v="3.6"/>
    <n v="2024"/>
    <s v="Monday"/>
    <s v="30 to 60 mins"/>
    <n v="4"/>
  </r>
  <r>
    <s v="Call_8158"/>
    <s v="C0001"/>
    <n v="142"/>
    <s v="R05"/>
    <d v="2023-10-30T00:00:00"/>
    <n v="40"/>
    <n v="3.8"/>
    <n v="2024"/>
    <s v="Monday"/>
    <s v="More than 2 hours"/>
    <n v="4"/>
  </r>
  <r>
    <s v="Call_8159"/>
    <s v="C0009"/>
    <n v="61"/>
    <s v="R05"/>
    <d v="2023-10-30T00:00:00"/>
    <n v="82"/>
    <n v="3.1"/>
    <n v="2024"/>
    <s v="Monday"/>
    <s v="1 to 2 hours"/>
    <n v="3"/>
  </r>
  <r>
    <s v="Call_8160"/>
    <s v="C0003"/>
    <n v="86"/>
    <s v="R03"/>
    <d v="2023-10-31T00:00:00"/>
    <n v="90"/>
    <n v="4.4000000000000004"/>
    <n v="2024"/>
    <s v="Tuesday"/>
    <s v="1 to 2 hours"/>
    <n v="4"/>
  </r>
  <r>
    <s v="Call_8161"/>
    <s v="C0005"/>
    <n v="165"/>
    <s v="R04"/>
    <d v="2023-11-01T00:00:00"/>
    <n v="66"/>
    <n v="4.8"/>
    <n v="2024"/>
    <s v="Wednesday"/>
    <s v="More than 2 hours"/>
    <n v="5"/>
  </r>
  <r>
    <s v="Call_8162"/>
    <s v="C0008"/>
    <n v="62"/>
    <s v="R02"/>
    <d v="2023-11-01T00:00:00"/>
    <n v="78"/>
    <n v="3.5"/>
    <n v="2024"/>
    <s v="Wednesday"/>
    <s v="1 to 2 hours"/>
    <n v="4"/>
  </r>
  <r>
    <s v="Call_8163"/>
    <s v="C0014"/>
    <n v="103"/>
    <s v="R04"/>
    <d v="2023-11-02T00:00:00"/>
    <n v="66"/>
    <n v="4.4000000000000004"/>
    <n v="2024"/>
    <s v="Thursday"/>
    <s v="1 to 2 hours"/>
    <n v="4"/>
  </r>
  <r>
    <s v="Call_8164"/>
    <s v="C0001"/>
    <n v="56"/>
    <s v="R03"/>
    <d v="2023-11-03T00:00:00"/>
    <n v="160"/>
    <n v="3.8"/>
    <n v="2024"/>
    <s v="Friday"/>
    <s v="30 to 60 mins"/>
    <n v="4"/>
  </r>
  <r>
    <s v="Call_8165"/>
    <s v="C0012"/>
    <n v="114"/>
    <s v="R05"/>
    <d v="2023-11-04T00:00:00"/>
    <n v="144"/>
    <n v="3.8"/>
    <n v="2024"/>
    <s v="Saturday"/>
    <s v="1 to 2 hours"/>
    <n v="4"/>
  </r>
  <r>
    <s v="Call_8166"/>
    <s v="C0001"/>
    <n v="112"/>
    <s v="R01"/>
    <d v="2023-11-04T00:00:00"/>
    <n v="200"/>
    <n v="4.5999999999999996"/>
    <n v="2024"/>
    <s v="Saturday"/>
    <s v="1 to 2 hours"/>
    <n v="5"/>
  </r>
  <r>
    <s v="Call_8167"/>
    <s v="C0007"/>
    <n v="52"/>
    <s v="R02"/>
    <d v="2023-11-06T00:00:00"/>
    <n v="220"/>
    <n v="5"/>
    <n v="2024"/>
    <s v="Monday"/>
    <s v="30 to 60 mins"/>
    <n v="5"/>
  </r>
  <r>
    <s v="Call_8168"/>
    <s v="C0014"/>
    <n v="105"/>
    <s v="R04"/>
    <d v="2023-11-07T00:00:00"/>
    <n v="112"/>
    <n v="3.2"/>
    <n v="2024"/>
    <s v="Tuesday"/>
    <s v="1 to 2 hours"/>
    <n v="3"/>
  </r>
  <r>
    <s v="Call_8169"/>
    <s v="C0005"/>
    <n v="91"/>
    <s v="R03"/>
    <d v="2023-11-07T00:00:00"/>
    <n v="110"/>
    <n v="3.7"/>
    <n v="2024"/>
    <s v="Tuesday"/>
    <s v="1 to 2 hours"/>
    <n v="4"/>
  </r>
  <r>
    <s v="Call_8170"/>
    <s v="C0015"/>
    <n v="74"/>
    <s v="R05"/>
    <d v="2023-11-08T00:00:00"/>
    <n v="160"/>
    <n v="2.7"/>
    <n v="2024"/>
    <s v="Wednesday"/>
    <s v="1 to 2 hours"/>
    <n v="3"/>
  </r>
  <r>
    <s v="Call_8171"/>
    <s v="C0015"/>
    <n v="30"/>
    <s v="R03"/>
    <d v="2023-11-08T00:00:00"/>
    <n v="84"/>
    <n v="4"/>
    <n v="2024"/>
    <s v="Wednesday"/>
    <s v="10 to 30 mins"/>
    <n v="4"/>
  </r>
  <r>
    <s v="Call_8172"/>
    <s v="C0005"/>
    <n v="56"/>
    <s v="R02"/>
    <d v="2023-11-08T00:00:00"/>
    <n v="124"/>
    <n v="2.6"/>
    <n v="2024"/>
    <s v="Wednesday"/>
    <s v="30 to 60 mins"/>
    <n v="3"/>
  </r>
  <r>
    <s v="Call_8173"/>
    <s v="C0015"/>
    <n v="151"/>
    <s v="R01"/>
    <d v="2023-11-08T00:00:00"/>
    <n v="84"/>
    <n v="4.5999999999999996"/>
    <n v="2024"/>
    <s v="Wednesday"/>
    <s v="More than 2 hours"/>
    <n v="5"/>
  </r>
  <r>
    <s v="Call_8174"/>
    <s v="C0004"/>
    <n v="108"/>
    <s v="R04"/>
    <d v="2023-11-09T00:00:00"/>
    <n v="130"/>
    <n v="2.7"/>
    <n v="2024"/>
    <s v="Thursday"/>
    <s v="1 to 2 hours"/>
    <n v="3"/>
  </r>
  <r>
    <s v="Call_8175"/>
    <s v="C0012"/>
    <n v="124"/>
    <s v="R05"/>
    <d v="2023-11-09T00:00:00"/>
    <n v="215"/>
    <n v="3.5"/>
    <n v="2024"/>
    <s v="Thursday"/>
    <s v="More than 2 hours"/>
    <n v="4"/>
  </r>
  <r>
    <s v="Call_8176"/>
    <s v="C0014"/>
    <n v="110"/>
    <s v="R02"/>
    <d v="2023-11-10T00:00:00"/>
    <n v="132"/>
    <n v="3.6"/>
    <n v="2024"/>
    <s v="Friday"/>
    <s v="1 to 2 hours"/>
    <n v="4"/>
  </r>
  <r>
    <s v="Call_8177"/>
    <s v="C0010"/>
    <n v="89"/>
    <s v="R04"/>
    <d v="2023-11-10T00:00:00"/>
    <n v="88"/>
    <n v="4.9000000000000004"/>
    <n v="2024"/>
    <s v="Friday"/>
    <s v="1 to 2 hours"/>
    <n v="5"/>
  </r>
  <r>
    <s v="Call_8178"/>
    <s v="C0003"/>
    <n v="95"/>
    <s v="R02"/>
    <d v="2023-11-10T00:00:00"/>
    <n v="140"/>
    <n v="3.9"/>
    <n v="2024"/>
    <s v="Friday"/>
    <s v="1 to 2 hours"/>
    <n v="4"/>
  </r>
  <r>
    <s v="Call_8179"/>
    <s v="C0015"/>
    <n v="84"/>
    <s v="R04"/>
    <d v="2023-11-11T00:00:00"/>
    <n v="66"/>
    <n v="4.7"/>
    <n v="2024"/>
    <s v="Saturday"/>
    <s v="1 to 2 hours"/>
    <n v="5"/>
  </r>
  <r>
    <s v="Call_8180"/>
    <s v="C0002"/>
    <n v="89"/>
    <s v="R05"/>
    <d v="2023-11-11T00:00:00"/>
    <n v="23"/>
    <n v="4.5"/>
    <n v="2024"/>
    <s v="Saturday"/>
    <s v="1 to 2 hours"/>
    <n v="5"/>
  </r>
  <r>
    <s v="Call_8181"/>
    <s v="C0010"/>
    <n v="146"/>
    <s v="R05"/>
    <d v="2023-11-12T00:00:00"/>
    <n v="220"/>
    <n v="4.5"/>
    <n v="2024"/>
    <s v="Sunday"/>
    <s v="More than 2 hours"/>
    <n v="5"/>
  </r>
  <r>
    <s v="Call_8182"/>
    <s v="C0013"/>
    <n v="62"/>
    <s v="R03"/>
    <d v="2023-11-13T00:00:00"/>
    <n v="175"/>
    <n v="4.4000000000000004"/>
    <n v="2024"/>
    <s v="Monday"/>
    <s v="1 to 2 hours"/>
    <n v="4"/>
  </r>
  <r>
    <s v="Call_8183"/>
    <s v="C0001"/>
    <n v="82"/>
    <s v="R05"/>
    <d v="2023-11-13T00:00:00"/>
    <n v="172"/>
    <n v="4.0999999999999996"/>
    <n v="2024"/>
    <s v="Monday"/>
    <s v="1 to 2 hours"/>
    <n v="4"/>
  </r>
  <r>
    <s v="Call_8184"/>
    <s v="C0009"/>
    <n v="91"/>
    <s v="R01"/>
    <d v="2023-11-13T00:00:00"/>
    <n v="108"/>
    <n v="3.8"/>
    <n v="2024"/>
    <s v="Monday"/>
    <s v="1 to 2 hours"/>
    <n v="4"/>
  </r>
  <r>
    <s v="Call_8185"/>
    <s v="C0002"/>
    <n v="39"/>
    <s v="R05"/>
    <d v="2023-11-14T00:00:00"/>
    <n v="43"/>
    <n v="4.2"/>
    <n v="2024"/>
    <s v="Tuesday"/>
    <s v="30 to 60 mins"/>
    <n v="4"/>
  </r>
  <r>
    <s v="Call_8186"/>
    <s v="C0010"/>
    <n v="149"/>
    <s v="R02"/>
    <d v="2023-11-14T00:00:00"/>
    <n v="44"/>
    <n v="2.2000000000000002"/>
    <n v="2024"/>
    <s v="Tuesday"/>
    <s v="More than 2 hours"/>
    <n v="2"/>
  </r>
  <r>
    <s v="Call_8187"/>
    <s v="C0001"/>
    <n v="138"/>
    <s v="R03"/>
    <d v="2023-11-14T00:00:00"/>
    <n v="105"/>
    <n v="3.9"/>
    <n v="2024"/>
    <s v="Tuesday"/>
    <s v="More than 2 hours"/>
    <n v="4"/>
  </r>
  <r>
    <s v="Call_8188"/>
    <s v="C0013"/>
    <n v="113"/>
    <s v="R02"/>
    <d v="2023-11-15T00:00:00"/>
    <n v="34"/>
    <n v="3.9"/>
    <n v="2024"/>
    <s v="Wednesday"/>
    <s v="1 to 2 hours"/>
    <n v="4"/>
  </r>
  <r>
    <s v="Call_8189"/>
    <s v="C0011"/>
    <n v="88"/>
    <s v="R05"/>
    <d v="2023-11-15T00:00:00"/>
    <n v="220"/>
    <n v="4.0999999999999996"/>
    <n v="2024"/>
    <s v="Wednesday"/>
    <s v="1 to 2 hours"/>
    <n v="4"/>
  </r>
  <r>
    <s v="Call_8190"/>
    <s v="C0003"/>
    <n v="64"/>
    <s v="R03"/>
    <d v="2023-11-15T00:00:00"/>
    <n v="225"/>
    <n v="4.5999999999999996"/>
    <n v="2024"/>
    <s v="Wednesday"/>
    <s v="1 to 2 hours"/>
    <n v="5"/>
  </r>
  <r>
    <s v="Call_8191"/>
    <s v="C0005"/>
    <n v="53"/>
    <s v="R03"/>
    <d v="2023-11-16T00:00:00"/>
    <n v="37"/>
    <n v="4.0999999999999996"/>
    <n v="2024"/>
    <s v="Thursday"/>
    <s v="30 to 60 mins"/>
    <n v="4"/>
  </r>
  <r>
    <s v="Call_8192"/>
    <s v="C0012"/>
    <n v="63"/>
    <s v="R02"/>
    <d v="2023-11-16T00:00:00"/>
    <n v="44"/>
    <n v="5"/>
    <n v="2024"/>
    <s v="Thursday"/>
    <s v="1 to 2 hours"/>
    <n v="5"/>
  </r>
  <r>
    <s v="Call_8193"/>
    <s v="C0007"/>
    <n v="54"/>
    <s v="R02"/>
    <d v="2023-11-17T00:00:00"/>
    <n v="35"/>
    <n v="2.8"/>
    <n v="2024"/>
    <s v="Friday"/>
    <s v="30 to 60 mins"/>
    <n v="3"/>
  </r>
  <r>
    <s v="Call_8194"/>
    <s v="C0012"/>
    <n v="54"/>
    <s v="R05"/>
    <d v="2023-11-17T00:00:00"/>
    <n v="145"/>
    <n v="2.7"/>
    <n v="2024"/>
    <s v="Friday"/>
    <s v="30 to 60 mins"/>
    <n v="3"/>
  </r>
  <r>
    <s v="Call_8195"/>
    <s v="C0010"/>
    <n v="71"/>
    <s v="R03"/>
    <d v="2023-11-17T00:00:00"/>
    <n v="64"/>
    <n v="3.9"/>
    <n v="2024"/>
    <s v="Friday"/>
    <s v="1 to 2 hours"/>
    <n v="4"/>
  </r>
  <r>
    <s v="Call_8196"/>
    <s v="C0012"/>
    <n v="93"/>
    <s v="R05"/>
    <d v="2023-11-18T00:00:00"/>
    <n v="185"/>
    <n v="4.3"/>
    <n v="2024"/>
    <s v="Saturday"/>
    <s v="1 to 2 hours"/>
    <n v="4"/>
  </r>
  <r>
    <s v="Call_8197"/>
    <s v="C0014"/>
    <n v="96"/>
    <s v="R02"/>
    <d v="2023-11-18T00:00:00"/>
    <n v="215"/>
    <n v="2.5"/>
    <n v="2024"/>
    <s v="Saturday"/>
    <s v="1 to 2 hours"/>
    <n v="3"/>
  </r>
  <r>
    <s v="Call_8198"/>
    <s v="C0002"/>
    <n v="31"/>
    <s v="R01"/>
    <d v="2023-11-18T00:00:00"/>
    <n v="88"/>
    <n v="3.4"/>
    <n v="2024"/>
    <s v="Saturday"/>
    <s v="30 to 60 mins"/>
    <n v="3"/>
  </r>
  <r>
    <s v="Call_8199"/>
    <s v="C0012"/>
    <n v="107"/>
    <s v="R03"/>
    <d v="2023-11-18T00:00:00"/>
    <n v="23"/>
    <n v="3.4"/>
    <n v="2024"/>
    <s v="Saturday"/>
    <s v="1 to 2 hours"/>
    <n v="3"/>
  </r>
  <r>
    <s v="Call_8200"/>
    <s v="C0005"/>
    <n v="50"/>
    <s v="R01"/>
    <d v="2023-11-19T00:00:00"/>
    <n v="180"/>
    <n v="1.8"/>
    <n v="2024"/>
    <s v="Sunday"/>
    <s v="30 to 60 mins"/>
    <n v="2"/>
  </r>
  <r>
    <s v="Call_8201"/>
    <s v="C0001"/>
    <n v="69"/>
    <s v="R03"/>
    <d v="2023-11-20T00:00:00"/>
    <n v="225"/>
    <n v="3.7"/>
    <n v="2024"/>
    <s v="Monday"/>
    <s v="1 to 2 hours"/>
    <n v="4"/>
  </r>
  <r>
    <s v="Call_8202"/>
    <s v="C0011"/>
    <n v="26"/>
    <s v="R02"/>
    <d v="2023-11-21T00:00:00"/>
    <n v="74"/>
    <n v="4.0999999999999996"/>
    <n v="2024"/>
    <s v="Tuesday"/>
    <s v="10 to 30 mins"/>
    <n v="4"/>
  </r>
  <r>
    <s v="Call_8203"/>
    <s v="C0014"/>
    <n v="158"/>
    <s v="R03"/>
    <d v="2023-11-21T00:00:00"/>
    <n v="36"/>
    <n v="3"/>
    <n v="2024"/>
    <s v="Tuesday"/>
    <s v="More than 2 hours"/>
    <n v="3"/>
  </r>
  <r>
    <s v="Call_8204"/>
    <s v="C0007"/>
    <n v="99"/>
    <s v="R03"/>
    <d v="2023-11-23T00:00:00"/>
    <n v="116"/>
    <n v="3.9"/>
    <n v="2024"/>
    <s v="Thursday"/>
    <s v="1 to 2 hours"/>
    <n v="4"/>
  </r>
  <r>
    <s v="Call_8205"/>
    <s v="C0014"/>
    <n v="78"/>
    <s v="R01"/>
    <d v="2023-11-23T00:00:00"/>
    <n v="140"/>
    <n v="4"/>
    <n v="2024"/>
    <s v="Thursday"/>
    <s v="1 to 2 hours"/>
    <n v="4"/>
  </r>
  <r>
    <s v="Call_8206"/>
    <s v="C0014"/>
    <n v="102"/>
    <s v="R02"/>
    <d v="2023-11-24T00:00:00"/>
    <n v="104"/>
    <n v="4.5"/>
    <n v="2024"/>
    <s v="Friday"/>
    <s v="1 to 2 hours"/>
    <n v="5"/>
  </r>
  <r>
    <s v="Call_8207"/>
    <s v="C0007"/>
    <n v="158"/>
    <s v="R04"/>
    <d v="2023-11-24T00:00:00"/>
    <n v="148"/>
    <n v="4"/>
    <n v="2024"/>
    <s v="Friday"/>
    <s v="More than 2 hours"/>
    <n v="4"/>
  </r>
  <r>
    <s v="Call_8208"/>
    <s v="C0002"/>
    <n v="56"/>
    <s v="R03"/>
    <d v="2023-11-24T00:00:00"/>
    <n v="205"/>
    <n v="4.3"/>
    <n v="2024"/>
    <s v="Friday"/>
    <s v="30 to 60 mins"/>
    <n v="4"/>
  </r>
  <r>
    <s v="Call_8209"/>
    <s v="C0004"/>
    <n v="17"/>
    <s v="R05"/>
    <d v="2023-11-24T00:00:00"/>
    <n v="210"/>
    <n v="4.8"/>
    <n v="2024"/>
    <s v="Friday"/>
    <s v="10 to 30 mins"/>
    <n v="5"/>
  </r>
  <r>
    <s v="Call_8210"/>
    <s v="C0011"/>
    <n v="104"/>
    <s v="R04"/>
    <d v="2023-11-26T00:00:00"/>
    <n v="41"/>
    <n v="4.7"/>
    <n v="2024"/>
    <s v="Sunday"/>
    <s v="1 to 2 hours"/>
    <n v="5"/>
  </r>
  <r>
    <s v="Call_8211"/>
    <s v="C0015"/>
    <n v="96"/>
    <s v="R01"/>
    <d v="2023-11-26T00:00:00"/>
    <n v="136"/>
    <n v="5"/>
    <n v="2024"/>
    <s v="Sunday"/>
    <s v="1 to 2 hours"/>
    <n v="5"/>
  </r>
  <r>
    <s v="Call_8212"/>
    <s v="C0009"/>
    <n v="83"/>
    <s v="R02"/>
    <d v="2023-11-27T00:00:00"/>
    <n v="126"/>
    <n v="1.5"/>
    <n v="2024"/>
    <s v="Monday"/>
    <s v="1 to 2 hours"/>
    <n v="2"/>
  </r>
  <r>
    <s v="Call_8213"/>
    <s v="C0005"/>
    <n v="80"/>
    <s v="R05"/>
    <d v="2023-11-28T00:00:00"/>
    <n v="148"/>
    <n v="4.0999999999999996"/>
    <n v="2024"/>
    <s v="Tuesday"/>
    <s v="1 to 2 hours"/>
    <n v="4"/>
  </r>
  <r>
    <s v="Call_8214"/>
    <s v="C0009"/>
    <n v="152"/>
    <s v="R02"/>
    <d v="2023-11-28T00:00:00"/>
    <n v="125"/>
    <n v="3.9"/>
    <n v="2024"/>
    <s v="Tuesday"/>
    <s v="More than 2 hours"/>
    <n v="4"/>
  </r>
  <r>
    <s v="Call_8215"/>
    <s v="C0010"/>
    <n v="34"/>
    <s v="R01"/>
    <d v="2023-11-28T00:00:00"/>
    <n v="25"/>
    <n v="4.0999999999999996"/>
    <n v="2024"/>
    <s v="Tuesday"/>
    <s v="30 to 60 mins"/>
    <n v="4"/>
  </r>
  <r>
    <s v="Call_8216"/>
    <s v="C0013"/>
    <n v="2"/>
    <s v="R03"/>
    <d v="2023-11-29T00:00:00"/>
    <n v="62"/>
    <n v="2.8"/>
    <n v="2024"/>
    <s v="Wednesday"/>
    <s v="Under 10 mins"/>
    <n v="3"/>
  </r>
  <r>
    <s v="Call_8217"/>
    <s v="C0005"/>
    <n v="140"/>
    <s v="R01"/>
    <d v="2023-11-30T00:00:00"/>
    <n v="90"/>
    <n v="4.5999999999999996"/>
    <n v="2024"/>
    <s v="Thursday"/>
    <s v="More than 2 hours"/>
    <n v="5"/>
  </r>
  <r>
    <s v="Call_8218"/>
    <s v="C0004"/>
    <n v="126"/>
    <s v="R04"/>
    <d v="2023-12-01T00:00:00"/>
    <n v="33"/>
    <n v="4.8"/>
    <n v="2024"/>
    <s v="Friday"/>
    <s v="More than 2 hours"/>
    <n v="5"/>
  </r>
  <r>
    <s v="Call_8219"/>
    <s v="C0014"/>
    <n v="79"/>
    <s v="R03"/>
    <d v="2023-12-01T00:00:00"/>
    <n v="115"/>
    <n v="2.2999999999999998"/>
    <n v="2024"/>
    <s v="Friday"/>
    <s v="1 to 2 hours"/>
    <n v="2"/>
  </r>
  <r>
    <s v="Call_8220"/>
    <s v="C0004"/>
    <n v="133"/>
    <s v="R04"/>
    <d v="2023-12-01T00:00:00"/>
    <n v="45"/>
    <n v="2.6"/>
    <n v="2024"/>
    <s v="Friday"/>
    <s v="More than 2 hours"/>
    <n v="3"/>
  </r>
  <r>
    <s v="Call_8221"/>
    <s v="C0010"/>
    <n v="97"/>
    <s v="R05"/>
    <d v="2023-12-01T00:00:00"/>
    <n v="114"/>
    <n v="4.8"/>
    <n v="2024"/>
    <s v="Friday"/>
    <s v="1 to 2 hours"/>
    <n v="5"/>
  </r>
  <r>
    <s v="Call_8222"/>
    <s v="C0014"/>
    <n v="102"/>
    <s v="R02"/>
    <d v="2023-12-02T00:00:00"/>
    <n v="72"/>
    <n v="3.7"/>
    <n v="2024"/>
    <s v="Saturday"/>
    <s v="1 to 2 hours"/>
    <n v="4"/>
  </r>
  <r>
    <s v="Call_8223"/>
    <s v="C0006"/>
    <n v="62"/>
    <s v="R05"/>
    <d v="2023-12-02T00:00:00"/>
    <n v="205"/>
    <n v="4.2"/>
    <n v="2024"/>
    <s v="Saturday"/>
    <s v="1 to 2 hours"/>
    <n v="4"/>
  </r>
  <r>
    <s v="Call_8224"/>
    <s v="C0004"/>
    <n v="149"/>
    <s v="R02"/>
    <d v="2023-12-03T00:00:00"/>
    <n v="42"/>
    <n v="3.3"/>
    <n v="2024"/>
    <s v="Sunday"/>
    <s v="More than 2 hours"/>
    <n v="3"/>
  </r>
  <r>
    <s v="Call_8225"/>
    <s v="C0013"/>
    <n v="133"/>
    <s v="R05"/>
    <d v="2023-12-03T00:00:00"/>
    <n v="96"/>
    <n v="4.3"/>
    <n v="2024"/>
    <s v="Sunday"/>
    <s v="More than 2 hours"/>
    <n v="4"/>
  </r>
  <r>
    <s v="Call_8226"/>
    <s v="C0014"/>
    <n v="51"/>
    <s v="R03"/>
    <d v="2023-12-03T00:00:00"/>
    <n v="64"/>
    <n v="3.7"/>
    <n v="2024"/>
    <s v="Sunday"/>
    <s v="30 to 60 mins"/>
    <n v="4"/>
  </r>
  <r>
    <s v="Call_8227"/>
    <s v="C0006"/>
    <n v="110"/>
    <s v="R05"/>
    <d v="2023-12-04T00:00:00"/>
    <n v="72"/>
    <n v="3.7"/>
    <n v="2024"/>
    <s v="Monday"/>
    <s v="1 to 2 hours"/>
    <n v="4"/>
  </r>
  <r>
    <s v="Call_8228"/>
    <s v="C0010"/>
    <n v="38"/>
    <s v="R04"/>
    <d v="2023-12-05T00:00:00"/>
    <n v="27"/>
    <n v="3.1"/>
    <n v="2024"/>
    <s v="Tuesday"/>
    <s v="30 to 60 mins"/>
    <n v="3"/>
  </r>
  <r>
    <s v="Call_8229"/>
    <s v="C0013"/>
    <n v="78"/>
    <s v="R04"/>
    <d v="2023-12-07T00:00:00"/>
    <n v="200"/>
    <n v="2.4"/>
    <n v="2024"/>
    <s v="Thursday"/>
    <s v="1 to 2 hours"/>
    <n v="2"/>
  </r>
  <r>
    <s v="Call_8230"/>
    <s v="C0010"/>
    <n v="25"/>
    <s v="R02"/>
    <d v="2023-12-08T00:00:00"/>
    <n v="93"/>
    <n v="3.5"/>
    <n v="2024"/>
    <s v="Friday"/>
    <s v="10 to 30 mins"/>
    <n v="4"/>
  </r>
  <r>
    <s v="Call_8231"/>
    <s v="C0012"/>
    <n v="50"/>
    <s v="R03"/>
    <d v="2023-12-08T00:00:00"/>
    <n v="54"/>
    <n v="4.3"/>
    <n v="2024"/>
    <s v="Friday"/>
    <s v="30 to 60 mins"/>
    <n v="4"/>
  </r>
  <r>
    <s v="Call_8232"/>
    <s v="C0010"/>
    <n v="103"/>
    <s v="R02"/>
    <d v="2023-12-09T00:00:00"/>
    <n v="72"/>
    <n v="3.4"/>
    <n v="2024"/>
    <s v="Saturday"/>
    <s v="1 to 2 hours"/>
    <n v="3"/>
  </r>
  <r>
    <s v="Call_8233"/>
    <s v="C0009"/>
    <n v="63"/>
    <s v="R01"/>
    <d v="2023-12-09T00:00:00"/>
    <n v="82"/>
    <n v="3.7"/>
    <n v="2024"/>
    <s v="Saturday"/>
    <s v="1 to 2 hours"/>
    <n v="4"/>
  </r>
  <r>
    <s v="Call_8234"/>
    <s v="C0012"/>
    <n v="96"/>
    <s v="R03"/>
    <d v="2023-12-13T00:00:00"/>
    <n v="164"/>
    <n v="4.8"/>
    <n v="2024"/>
    <s v="Wednesday"/>
    <s v="1 to 2 hours"/>
    <n v="5"/>
  </r>
  <r>
    <s v="Call_8235"/>
    <s v="C0005"/>
    <n v="94"/>
    <s v="R02"/>
    <d v="2023-12-13T00:00:00"/>
    <n v="78"/>
    <n v="3.3"/>
    <n v="2024"/>
    <s v="Wednesday"/>
    <s v="1 to 2 hours"/>
    <n v="3"/>
  </r>
  <r>
    <s v="Call_8236"/>
    <s v="C0006"/>
    <n v="46"/>
    <s v="R04"/>
    <d v="2023-12-14T00:00:00"/>
    <n v="135"/>
    <n v="4.2"/>
    <n v="2024"/>
    <s v="Thursday"/>
    <s v="30 to 60 mins"/>
    <n v="4"/>
  </r>
  <r>
    <s v="Call_8237"/>
    <s v="C0008"/>
    <n v="127"/>
    <s v="R03"/>
    <d v="2023-12-15T00:00:00"/>
    <n v="145"/>
    <n v="2.6"/>
    <n v="2024"/>
    <s v="Friday"/>
    <s v="More than 2 hours"/>
    <n v="3"/>
  </r>
  <r>
    <s v="Call_8238"/>
    <s v="C0007"/>
    <n v="96"/>
    <s v="R04"/>
    <d v="2023-12-15T00:00:00"/>
    <n v="115"/>
    <n v="4.9000000000000004"/>
    <n v="2024"/>
    <s v="Friday"/>
    <s v="1 to 2 hours"/>
    <n v="5"/>
  </r>
  <r>
    <s v="Call_8239"/>
    <s v="C0001"/>
    <n v="151"/>
    <s v="R02"/>
    <d v="2023-12-15T00:00:00"/>
    <n v="117"/>
    <n v="2"/>
    <n v="2024"/>
    <s v="Friday"/>
    <s v="More than 2 hours"/>
    <n v="2"/>
  </r>
  <r>
    <s v="Call_8240"/>
    <s v="C0008"/>
    <n v="158"/>
    <s v="R05"/>
    <d v="2023-12-16T00:00:00"/>
    <n v="36"/>
    <n v="4.7"/>
    <n v="2024"/>
    <s v="Saturday"/>
    <s v="More than 2 hours"/>
    <n v="5"/>
  </r>
  <r>
    <s v="Call_8241"/>
    <s v="C0005"/>
    <n v="45"/>
    <s v="R05"/>
    <d v="2023-12-16T00:00:00"/>
    <n v="84"/>
    <n v="2.8"/>
    <n v="2024"/>
    <s v="Saturday"/>
    <s v="30 to 60 mins"/>
    <n v="3"/>
  </r>
  <r>
    <s v="Call_8242"/>
    <s v="C0002"/>
    <n v="141"/>
    <s v="R05"/>
    <d v="2023-12-16T00:00:00"/>
    <n v="66"/>
    <n v="3.2"/>
    <n v="2024"/>
    <s v="Saturday"/>
    <s v="More than 2 hours"/>
    <n v="3"/>
  </r>
  <r>
    <s v="Call_8243"/>
    <s v="C0010"/>
    <n v="147"/>
    <s v="R04"/>
    <d v="2023-12-16T00:00:00"/>
    <n v="76"/>
    <n v="4.7"/>
    <n v="2024"/>
    <s v="Saturday"/>
    <s v="More than 2 hours"/>
    <n v="5"/>
  </r>
  <r>
    <s v="Call_8244"/>
    <s v="C0015"/>
    <n v="126"/>
    <s v="R04"/>
    <d v="2023-12-16T00:00:00"/>
    <n v="185"/>
    <n v="4.8"/>
    <n v="2024"/>
    <s v="Saturday"/>
    <s v="More than 2 hours"/>
    <n v="5"/>
  </r>
  <r>
    <s v="Call_8245"/>
    <s v="C0005"/>
    <n v="126"/>
    <s v="R01"/>
    <d v="2023-12-17T00:00:00"/>
    <n v="80"/>
    <n v="4.7"/>
    <n v="2024"/>
    <s v="Sunday"/>
    <s v="More than 2 hours"/>
    <n v="5"/>
  </r>
  <r>
    <s v="Call_8246"/>
    <s v="C0013"/>
    <n v="32"/>
    <s v="R04"/>
    <d v="2023-12-17T00:00:00"/>
    <n v="148"/>
    <n v="4"/>
    <n v="2024"/>
    <s v="Sunday"/>
    <s v="30 to 60 mins"/>
    <n v="4"/>
  </r>
  <r>
    <s v="Call_8247"/>
    <s v="C0005"/>
    <n v="84"/>
    <s v="R03"/>
    <d v="2023-12-19T00:00:00"/>
    <n v="180"/>
    <n v="4.9000000000000004"/>
    <n v="2024"/>
    <s v="Tuesday"/>
    <s v="1 to 2 hours"/>
    <n v="5"/>
  </r>
  <r>
    <s v="Call_8248"/>
    <s v="C0009"/>
    <n v="120"/>
    <s v="R01"/>
    <d v="2023-12-20T00:00:00"/>
    <n v="190"/>
    <n v="3.7"/>
    <n v="2024"/>
    <s v="Wednesday"/>
    <s v="1 to 2 hours"/>
    <n v="4"/>
  </r>
  <r>
    <s v="Call_8249"/>
    <s v="C0011"/>
    <n v="93"/>
    <s v="R04"/>
    <d v="2023-12-20T00:00:00"/>
    <n v="38"/>
    <n v="4.5"/>
    <n v="2024"/>
    <s v="Wednesday"/>
    <s v="1 to 2 hours"/>
    <n v="5"/>
  </r>
  <r>
    <s v="Call_8250"/>
    <s v="C0007"/>
    <n v="76"/>
    <s v="R02"/>
    <d v="2023-12-21T00:00:00"/>
    <n v="82"/>
    <n v="2.1"/>
    <n v="2024"/>
    <s v="Thursday"/>
    <s v="1 to 2 hours"/>
    <n v="2"/>
  </r>
  <r>
    <s v="Call_8251"/>
    <s v="C0008"/>
    <n v="89"/>
    <s v="R04"/>
    <d v="2023-12-24T00:00:00"/>
    <n v="88"/>
    <n v="2.8"/>
    <n v="2024"/>
    <s v="Sunday"/>
    <s v="1 to 2 hours"/>
    <n v="3"/>
  </r>
  <r>
    <s v="Call_8252"/>
    <s v="C0014"/>
    <n v="91"/>
    <s v="R03"/>
    <d v="2023-12-24T00:00:00"/>
    <n v="42"/>
    <n v="4.0999999999999996"/>
    <n v="2024"/>
    <s v="Sunday"/>
    <s v="1 to 2 hours"/>
    <n v="4"/>
  </r>
  <r>
    <s v="Call_8253"/>
    <s v="C0006"/>
    <n v="7"/>
    <s v="R05"/>
    <d v="2023-12-25T00:00:00"/>
    <n v="64"/>
    <n v="3.3"/>
    <n v="2024"/>
    <s v="Monday"/>
    <s v="Under 10 mins"/>
    <n v="3"/>
  </r>
  <r>
    <s v="Call_8254"/>
    <s v="C0013"/>
    <n v="140"/>
    <s v="R05"/>
    <d v="2023-12-25T00:00:00"/>
    <n v="105"/>
    <n v="1.7"/>
    <n v="2024"/>
    <s v="Monday"/>
    <s v="More than 2 hours"/>
    <n v="2"/>
  </r>
  <r>
    <s v="Call_8255"/>
    <s v="C0004"/>
    <n v="58"/>
    <s v="R01"/>
    <d v="2023-12-25T00:00:00"/>
    <n v="25"/>
    <n v="3.6"/>
    <n v="2024"/>
    <s v="Monday"/>
    <s v="30 to 60 mins"/>
    <n v="4"/>
  </r>
  <r>
    <s v="Call_8256"/>
    <s v="C0003"/>
    <n v="90"/>
    <s v="R02"/>
    <d v="2023-12-26T00:00:00"/>
    <n v="176"/>
    <n v="3.6"/>
    <n v="2024"/>
    <s v="Tuesday"/>
    <s v="1 to 2 hours"/>
    <n v="4"/>
  </r>
  <r>
    <s v="Call_8257"/>
    <s v="C0003"/>
    <n v="106"/>
    <s v="R04"/>
    <d v="2023-12-27T00:00:00"/>
    <n v="46"/>
    <n v="4.5999999999999996"/>
    <n v="2024"/>
    <s v="Wednesday"/>
    <s v="1 to 2 hours"/>
    <n v="5"/>
  </r>
  <r>
    <s v="Call_8258"/>
    <s v="C0009"/>
    <n v="72"/>
    <s v="R05"/>
    <d v="2023-12-27T00:00:00"/>
    <n v="164"/>
    <n v="4.8"/>
    <n v="2024"/>
    <s v="Wednesday"/>
    <s v="1 to 2 hours"/>
    <n v="5"/>
  </r>
  <r>
    <s v="Call_8259"/>
    <s v="C0006"/>
    <n v="124"/>
    <s v="R05"/>
    <d v="2023-12-28T00:00:00"/>
    <n v="64"/>
    <n v="4.5"/>
    <n v="2024"/>
    <s v="Thursday"/>
    <s v="More than 2 hours"/>
    <n v="5"/>
  </r>
  <r>
    <s v="Call_8260"/>
    <s v="C0002"/>
    <n v="86"/>
    <s v="R03"/>
    <d v="2023-12-28T00:00:00"/>
    <n v="205"/>
    <n v="4.5"/>
    <n v="2024"/>
    <s v="Thursday"/>
    <s v="1 to 2 hours"/>
    <n v="5"/>
  </r>
  <r>
    <s v="Call_8261"/>
    <s v="C0005"/>
    <n v="164"/>
    <s v="R03"/>
    <d v="2023-12-29T00:00:00"/>
    <n v="100"/>
    <n v="4.5999999999999996"/>
    <n v="2024"/>
    <s v="Friday"/>
    <s v="More than 2 hours"/>
    <n v="5"/>
  </r>
  <r>
    <s v="Call_8262"/>
    <s v="C0011"/>
    <n v="40"/>
    <s v="R02"/>
    <d v="2023-12-29T00:00:00"/>
    <n v="111"/>
    <n v="4.5999999999999996"/>
    <n v="2024"/>
    <s v="Friday"/>
    <s v="30 to 60 mins"/>
    <n v="5"/>
  </r>
  <r>
    <s v="Call_8263"/>
    <s v="C0014"/>
    <n v="76"/>
    <s v="R01"/>
    <d v="2023-12-29T00:00:00"/>
    <n v="80"/>
    <n v="3.5"/>
    <n v="2024"/>
    <s v="Friday"/>
    <s v="1 to 2 hours"/>
    <n v="4"/>
  </r>
  <r>
    <s v="Call_8264"/>
    <s v="C0006"/>
    <n v="95"/>
    <s v="R04"/>
    <d v="2023-12-29T00:00:00"/>
    <n v="50"/>
    <n v="2.9"/>
    <n v="2024"/>
    <s v="Friday"/>
    <s v="1 to 2 hours"/>
    <n v="3"/>
  </r>
  <r>
    <s v="Call_8265"/>
    <s v="C0014"/>
    <n v="113"/>
    <s v="R05"/>
    <d v="2023-12-30T00:00:00"/>
    <n v="165"/>
    <n v="4.7"/>
    <n v="2024"/>
    <s v="Saturday"/>
    <s v="1 to 2 hours"/>
    <n v="5"/>
  </r>
  <r>
    <s v="Call_8266"/>
    <s v="C0002"/>
    <n v="81"/>
    <s v="R05"/>
    <d v="2023-12-30T00:00:00"/>
    <n v="28"/>
    <n v="3.9"/>
    <n v="2024"/>
    <s v="Saturday"/>
    <s v="1 to 2 hours"/>
    <n v="4"/>
  </r>
  <r>
    <s v="Call_8267"/>
    <s v="C0007"/>
    <n v="127"/>
    <s v="R04"/>
    <d v="2023-12-30T00:00:00"/>
    <n v="215"/>
    <n v="3.8"/>
    <n v="2024"/>
    <s v="Saturday"/>
    <s v="More than 2 hours"/>
    <n v="4"/>
  </r>
  <r>
    <s v="Call_8268"/>
    <s v="C0013"/>
    <n v="146"/>
    <s v="R05"/>
    <d v="2023-12-31T00:00:00"/>
    <n v="115"/>
    <n v="2.2999999999999998"/>
    <n v="2024"/>
    <s v="Sunday"/>
    <s v="More than 2 hours"/>
    <n v="2"/>
  </r>
  <r>
    <s v="Call_8269"/>
    <s v="C0010"/>
    <n v="123"/>
    <s v="R05"/>
    <d v="2023-12-31T00:00:00"/>
    <n v="64"/>
    <n v="3.7"/>
    <n v="2024"/>
    <s v="Sunday"/>
    <s v="More than 2 hours"/>
    <n v="4"/>
  </r>
  <r>
    <s v="Call_8270"/>
    <s v="C0009"/>
    <n v="114"/>
    <s v="R01"/>
    <d v="2023-12-31T00:00:00"/>
    <n v="40"/>
    <n v="3.9"/>
    <n v="2024"/>
    <s v="Sunday"/>
    <s v="1 to 2 hours"/>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0D6241-0783-4326-8048-4FC966FA5497}"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1">
    <pivotField showAll="0"/>
    <pivotField showAll="0"/>
    <pivotField showAll="0"/>
    <pivotField showAll="0"/>
    <pivotField numFmtId="164"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086935-15CC-4D20-8686-F7653BB2A7ED}"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1">
    <pivotField showAll="0"/>
    <pivotField showAll="0"/>
    <pivotField showAll="0"/>
    <pivotField showAll="0"/>
    <pivotField numFmtId="164"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2E46B8-DD03-4D9F-8482-9C093E8F4433}"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1:B9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C866E8-9523-4663-9776-2221653DD3FD}" name="SELECTED REP" cacheId="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68:A69"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8803E0-87F3-4E26-9DD0-146D87B002B0}" name="PivotTable2"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F24:G32"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1"/>
        <item x="5"/>
        <item x="6"/>
        <item x="4"/>
        <item x="0"/>
        <item x="2"/>
        <item x="3"/>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B7ECDA-F3AE-4C5B-A8D8-43E6E5CA5547}" name="PivotTable10" cacheId="9"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0">
  <location ref="A102:C121" firstHeaderRow="1" firstDataRow="2" firstDataCol="1"/>
  <pivotFields count="4">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2">
    <i>
      <x/>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09EE15-652D-4CC1-B5D9-F57D3267386A}"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69491A-CFE6-464A-A49E-F43A21FE5A2D}" name="PivotTable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477181-80D6-49A3-BFB2-D702B9FA9775}"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0:D85"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046B40-21CD-4238-A2AF-93EA3C722FF4}" name="Rep Pivot"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C0A6CB-FA29-4CFE-8B56-6C2F64664BB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C52"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A person in a skirt and a cardigan
Description automatically generated</v>
  </rv>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99E7502F-9B7F-4C9D-B945-8AD58C4ADA24}" sourceName="[calls].[Representative]">
  <pivotTables>
    <pivotTable tabId="6" name="Rep Pivot"/>
    <pivotTable tabId="6" name="PivotTable1"/>
    <pivotTable tabId="6" name="PivotTable2"/>
    <pivotTable tabId="6" name="SELECTED REP"/>
    <pivotTable tabId="6" name="PivotTable7"/>
    <pivotTable tabId="6" name="PivotTable10"/>
  </pivotTables>
  <data>
    <olap pivotCacheId="322117832">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168437F1-5576-4182-B236-45ABC3A9BFE4}" cache="Slicer_Representative" caption="Representative" level="1" style="SlicerStyleLight5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
    <tableColumn id="5" xr3:uid="{5A35565E-8707-4DED-AD15-A0669D67B382}" name="Date of Call" dataDxfId="14"/>
    <tableColumn id="6" xr3:uid="{F2E4F158-B41F-47BC-8DF8-DFCADFEE4E40}" name="Purchase Amount"/>
    <tableColumn id="7" xr3:uid="{04B291B5-47BD-4F78-8FD8-D1551CCA6BD9}" name="Satisfaction Rating"/>
    <tableColumn id="8" xr3:uid="{6E4123C0-0B17-43B8-A142-A1E540CE974C}" name="FY" dataDxfId="13">
      <calculatedColumnFormula>IF(MONTH(calls[[#This Row],[Date of Call]])&lt;=6, YEAR(calls[[#This Row],[Date of Call]]), YEAR(calls[[#This Row],[Date of Call]])+1)</calculatedColumnFormula>
    </tableColumn>
    <tableColumn id="9" xr3:uid="{199FA271-5E9B-46CE-9BC6-2801F92CD17E}" name="Day of week" dataDxfId="12">
      <calculatedColumnFormula>TEXT(calls[[#This Row],[Date of Call]],"DDDD")</calculatedColumnFormula>
    </tableColumn>
    <tableColumn id="10" xr3:uid="{328CDB09-95B8-4D5E-9ED9-EF0D363735A1}"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9" headerRowBorderDxfId="8" tableBorderDxfId="7" totalsRowBorderDxfId="6">
  <autoFilter ref="Q3:T18" xr:uid="{27158F51-A707-4171-8A04-81FB0AABCBA5}"/>
  <tableColumns count="4">
    <tableColumn id="1" xr3:uid="{02688061-6A8C-4E23-B7FF-D00CD8B58CAC}" name="Customer ID" dataDxfId="5"/>
    <tableColumn id="2" xr3:uid="{771678B6-DB44-426B-9874-B4E421A440D5}" name="Gend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2808C-6EB1-4A63-987E-CA39F49D1CB8}">
  <sheetPr>
    <pageSetUpPr fitToPage="1"/>
  </sheetPr>
  <dimension ref="A1:AB50"/>
  <sheetViews>
    <sheetView tabSelected="1" zoomScale="85" zoomScaleNormal="85" workbookViewId="0">
      <selection activeCell="X23" sqref="X23"/>
    </sheetView>
  </sheetViews>
  <sheetFormatPr defaultRowHeight="14.4" x14ac:dyDescent="0.3"/>
  <cols>
    <col min="1" max="1" width="3.796875" customWidth="1"/>
    <col min="2" max="2" width="4" customWidth="1"/>
    <col min="14" max="14" width="5.19921875" customWidth="1"/>
  </cols>
  <sheetData>
    <row r="1" spans="1:28" x14ac:dyDescent="0.3">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row>
    <row r="2" spans="1:28" ht="31.2" customHeight="1" x14ac:dyDescent="0.3">
      <c r="A2" s="20"/>
      <c r="B2" s="20"/>
      <c r="C2" s="53" t="s">
        <v>1085</v>
      </c>
      <c r="D2" s="53"/>
      <c r="E2" s="53"/>
      <c r="F2" s="53"/>
      <c r="G2" s="53"/>
      <c r="H2" s="53"/>
      <c r="I2" s="53"/>
      <c r="J2" s="53"/>
      <c r="K2" s="20"/>
      <c r="L2" s="20"/>
      <c r="M2" s="20"/>
      <c r="N2" s="20"/>
      <c r="O2" s="20"/>
      <c r="P2" s="20"/>
      <c r="Q2" s="20"/>
      <c r="R2" s="20"/>
      <c r="S2" s="20"/>
      <c r="T2" s="20"/>
      <c r="U2" s="20"/>
      <c r="V2" s="20"/>
      <c r="W2" s="20"/>
      <c r="X2" s="20"/>
      <c r="Y2" s="20"/>
      <c r="Z2" s="20"/>
      <c r="AA2" s="20"/>
      <c r="AB2" s="20"/>
    </row>
    <row r="3" spans="1:28" x14ac:dyDescent="0.3">
      <c r="A3" s="20"/>
      <c r="B3" s="20"/>
      <c r="C3" s="53"/>
      <c r="D3" s="53"/>
      <c r="E3" s="53"/>
      <c r="F3" s="53"/>
      <c r="G3" s="53"/>
      <c r="H3" s="53"/>
      <c r="I3" s="53"/>
      <c r="J3" s="53"/>
      <c r="K3" s="20"/>
      <c r="L3" s="20"/>
      <c r="M3" s="20"/>
      <c r="N3" s="20"/>
      <c r="O3" s="20"/>
      <c r="P3" s="20"/>
      <c r="Q3" s="20"/>
      <c r="R3" s="20"/>
      <c r="S3" s="20"/>
      <c r="T3" s="20"/>
      <c r="U3" s="20"/>
      <c r="V3" s="20"/>
      <c r="W3" s="20"/>
      <c r="X3" s="20"/>
      <c r="Y3" s="20"/>
      <c r="Z3" s="20"/>
      <c r="AA3" s="20"/>
      <c r="AB3" s="20"/>
    </row>
    <row r="4" spans="1:28" x14ac:dyDescent="0.3">
      <c r="A4" s="20"/>
      <c r="B4" s="20"/>
      <c r="C4" s="53"/>
      <c r="D4" s="53"/>
      <c r="E4" s="53"/>
      <c r="F4" s="53"/>
      <c r="G4" s="53"/>
      <c r="H4" s="53"/>
      <c r="I4" s="53"/>
      <c r="J4" s="53"/>
      <c r="K4" s="20"/>
      <c r="L4" s="20"/>
      <c r="M4" s="20"/>
      <c r="N4" s="20"/>
      <c r="O4" s="20"/>
      <c r="P4" s="20"/>
      <c r="Q4" s="20"/>
      <c r="R4" s="20"/>
      <c r="S4" s="20"/>
      <c r="T4" s="20"/>
      <c r="U4" s="20"/>
      <c r="V4" s="20"/>
      <c r="W4" s="20"/>
      <c r="X4" s="20"/>
      <c r="Y4" s="20"/>
      <c r="Z4" s="20"/>
      <c r="AA4" s="20"/>
      <c r="AB4" s="20"/>
    </row>
    <row r="5" spans="1:28" x14ac:dyDescent="0.3">
      <c r="A5" s="20"/>
      <c r="B5" s="20"/>
      <c r="C5" s="53"/>
      <c r="D5" s="53"/>
      <c r="E5" s="53"/>
      <c r="F5" s="53"/>
      <c r="G5" s="53"/>
      <c r="H5" s="53"/>
      <c r="I5" s="53"/>
      <c r="J5" s="53"/>
      <c r="K5" s="20"/>
      <c r="L5" s="20"/>
      <c r="M5" s="20"/>
      <c r="N5" s="20"/>
      <c r="O5" s="20"/>
      <c r="P5" s="20"/>
      <c r="Q5" s="20"/>
      <c r="R5" s="20"/>
      <c r="S5" s="20"/>
      <c r="T5" s="20"/>
      <c r="U5" s="20"/>
      <c r="V5" s="20"/>
      <c r="W5" s="20"/>
      <c r="X5" s="20"/>
      <c r="Y5" s="20"/>
      <c r="Z5" s="20"/>
      <c r="AA5" s="20"/>
      <c r="AB5" s="20"/>
    </row>
    <row r="6" spans="1:28"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row>
    <row r="7" spans="1:28"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row>
    <row r="8" spans="1:28"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row>
    <row r="9" spans="1:28"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row>
    <row r="10" spans="1:28"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row>
    <row r="11" spans="1:28"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row>
    <row r="12" spans="1:28"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row>
    <row r="13" spans="1:28"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row>
    <row r="14" spans="1:28"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row>
    <row r="15" spans="1:28"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row>
    <row r="16" spans="1:28"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row>
    <row r="17" spans="1:28"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row>
    <row r="18" spans="1:28"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row>
    <row r="19" spans="1:28"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row>
    <row r="20" spans="1:28"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row>
    <row r="21" spans="1:28" x14ac:dyDescent="0.3">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row>
    <row r="22" spans="1:28" x14ac:dyDescent="0.3">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row>
    <row r="23" spans="1:28" x14ac:dyDescent="0.3">
      <c r="A23" s="20"/>
      <c r="B23" s="20"/>
      <c r="C23" s="20"/>
      <c r="D23" s="20"/>
      <c r="E23" s="20"/>
      <c r="F23" s="20"/>
      <c r="G23" s="20"/>
      <c r="H23" s="20"/>
      <c r="I23" s="20"/>
      <c r="J23" s="20"/>
      <c r="K23" s="20"/>
      <c r="L23" s="20"/>
      <c r="M23" s="20"/>
      <c r="N23" s="20"/>
      <c r="O23" s="41"/>
      <c r="P23" s="49" t="s">
        <v>11</v>
      </c>
      <c r="Q23" s="49" t="s">
        <v>9</v>
      </c>
      <c r="R23" s="49" t="s">
        <v>6</v>
      </c>
      <c r="S23" s="49" t="s">
        <v>13</v>
      </c>
      <c r="T23" s="49" t="s">
        <v>10</v>
      </c>
      <c r="U23" s="50" t="s">
        <v>1078</v>
      </c>
      <c r="V23" s="20"/>
      <c r="W23" s="20"/>
      <c r="X23" s="20"/>
      <c r="Y23" s="20"/>
      <c r="Z23" s="20"/>
      <c r="AA23" s="20"/>
      <c r="AB23" s="20"/>
    </row>
    <row r="24" spans="1:28" x14ac:dyDescent="0.3">
      <c r="A24" s="20"/>
      <c r="B24" s="20"/>
      <c r="C24" s="20"/>
      <c r="D24" s="20"/>
      <c r="E24" s="20"/>
      <c r="F24" s="20"/>
      <c r="G24" s="20"/>
      <c r="H24" s="20"/>
      <c r="I24" s="20"/>
      <c r="J24" s="20"/>
      <c r="K24" s="20"/>
      <c r="L24" s="20"/>
      <c r="M24" s="20"/>
      <c r="N24" s="20"/>
      <c r="O24" s="42" t="s">
        <v>1001</v>
      </c>
      <c r="P24" s="39"/>
      <c r="Q24" s="39"/>
      <c r="R24" s="39"/>
      <c r="S24" s="39"/>
      <c r="T24" s="39"/>
      <c r="U24" s="43"/>
      <c r="V24" s="20"/>
      <c r="W24" s="20"/>
      <c r="X24" s="20"/>
      <c r="Y24" s="20"/>
      <c r="Z24" s="20"/>
      <c r="AA24" s="20"/>
      <c r="AB24" s="20"/>
    </row>
    <row r="25" spans="1:28" x14ac:dyDescent="0.3">
      <c r="A25" s="20"/>
      <c r="B25" s="20"/>
      <c r="C25" s="20"/>
      <c r="D25" s="20"/>
      <c r="E25" s="20"/>
      <c r="F25" s="20"/>
      <c r="G25" s="20"/>
      <c r="H25" s="20"/>
      <c r="I25" s="20"/>
      <c r="J25" s="20"/>
      <c r="K25" s="20"/>
      <c r="L25" s="20"/>
      <c r="M25" s="20"/>
      <c r="N25" s="20"/>
      <c r="O25" s="44" t="s">
        <v>20</v>
      </c>
      <c r="P25" s="40">
        <v>891</v>
      </c>
      <c r="Q25" s="40">
        <v>1332</v>
      </c>
      <c r="R25" s="40">
        <v>1282</v>
      </c>
      <c r="S25" s="40">
        <v>739</v>
      </c>
      <c r="T25" s="40">
        <v>560</v>
      </c>
      <c r="U25" s="45">
        <v>4804</v>
      </c>
      <c r="V25" s="20"/>
      <c r="W25" s="20"/>
      <c r="X25" s="20"/>
      <c r="Y25" s="20"/>
      <c r="Z25" s="20"/>
      <c r="AA25" s="20"/>
      <c r="AB25" s="20"/>
    </row>
    <row r="26" spans="1:28" x14ac:dyDescent="0.3">
      <c r="A26" s="20"/>
      <c r="B26" s="20"/>
      <c r="C26" s="20"/>
      <c r="D26" s="20"/>
      <c r="E26" s="20"/>
      <c r="F26" s="20"/>
      <c r="G26" s="20"/>
      <c r="H26" s="20"/>
      <c r="I26" s="20"/>
      <c r="J26" s="20"/>
      <c r="K26" s="20"/>
      <c r="L26" s="20"/>
      <c r="M26" s="20"/>
      <c r="N26" s="20"/>
      <c r="O26" s="44" t="s">
        <v>12</v>
      </c>
      <c r="P26" s="40">
        <v>1991</v>
      </c>
      <c r="Q26" s="40">
        <v>1886</v>
      </c>
      <c r="R26" s="40">
        <v>1206</v>
      </c>
      <c r="S26" s="40">
        <v>884</v>
      </c>
      <c r="T26" s="40">
        <v>1722</v>
      </c>
      <c r="U26" s="45">
        <v>7689</v>
      </c>
      <c r="V26" s="20"/>
      <c r="W26" s="20"/>
      <c r="X26" s="20"/>
      <c r="Y26" s="20"/>
      <c r="Z26" s="20"/>
      <c r="AA26" s="20"/>
      <c r="AB26" s="20"/>
    </row>
    <row r="27" spans="1:28" x14ac:dyDescent="0.3">
      <c r="A27" s="20"/>
      <c r="B27" s="20"/>
      <c r="C27" s="20"/>
      <c r="D27" s="20"/>
      <c r="E27" s="20"/>
      <c r="F27" s="20"/>
      <c r="G27" s="20"/>
      <c r="H27" s="20"/>
      <c r="I27" s="20"/>
      <c r="J27" s="20"/>
      <c r="K27" s="20"/>
      <c r="L27" s="20"/>
      <c r="M27" s="20"/>
      <c r="N27" s="20"/>
      <c r="O27" s="44" t="s">
        <v>8</v>
      </c>
      <c r="P27" s="40">
        <v>1163</v>
      </c>
      <c r="Q27" s="40">
        <v>1180</v>
      </c>
      <c r="R27" s="40">
        <v>1616</v>
      </c>
      <c r="S27" s="40">
        <v>1043</v>
      </c>
      <c r="T27" s="40">
        <v>1747</v>
      </c>
      <c r="U27" s="45">
        <v>6749</v>
      </c>
      <c r="V27" s="20"/>
      <c r="W27" s="20"/>
      <c r="X27" s="20"/>
      <c r="Y27" s="20"/>
      <c r="Z27" s="20"/>
      <c r="AA27" s="20"/>
      <c r="AB27" s="20"/>
    </row>
    <row r="28" spans="1:28" x14ac:dyDescent="0.3">
      <c r="A28" s="20"/>
      <c r="B28" s="20"/>
      <c r="C28" s="20"/>
      <c r="D28" s="20"/>
      <c r="E28" s="20"/>
      <c r="F28" s="20"/>
      <c r="G28" s="20"/>
      <c r="H28" s="20"/>
      <c r="I28" s="20"/>
      <c r="J28" s="20"/>
      <c r="K28" s="20"/>
      <c r="L28" s="20"/>
      <c r="M28" s="20"/>
      <c r="N28" s="20"/>
      <c r="O28" s="44" t="s">
        <v>16</v>
      </c>
      <c r="P28" s="40">
        <v>1438</v>
      </c>
      <c r="Q28" s="40">
        <v>1616</v>
      </c>
      <c r="R28" s="40">
        <v>866</v>
      </c>
      <c r="S28" s="40">
        <v>829</v>
      </c>
      <c r="T28" s="40">
        <v>2070</v>
      </c>
      <c r="U28" s="45">
        <v>6819</v>
      </c>
      <c r="V28" s="20"/>
      <c r="W28" s="20"/>
      <c r="X28" s="20"/>
      <c r="Y28" s="20"/>
      <c r="Z28" s="20"/>
      <c r="AA28" s="20"/>
      <c r="AB28" s="20"/>
    </row>
    <row r="29" spans="1:28" x14ac:dyDescent="0.3">
      <c r="A29" s="20"/>
      <c r="B29" s="20"/>
      <c r="C29" s="20"/>
      <c r="D29" s="20"/>
      <c r="E29" s="20"/>
      <c r="F29" s="20"/>
      <c r="G29" s="20"/>
      <c r="H29" s="20"/>
      <c r="I29" s="20"/>
      <c r="J29" s="20"/>
      <c r="K29" s="20"/>
      <c r="L29" s="20"/>
      <c r="M29" s="20"/>
      <c r="N29" s="20"/>
      <c r="O29" s="42" t="s">
        <v>1000</v>
      </c>
      <c r="P29" s="39"/>
      <c r="Q29" s="39"/>
      <c r="R29" s="39"/>
      <c r="S29" s="39"/>
      <c r="T29" s="39"/>
      <c r="U29" s="43"/>
      <c r="V29" s="20"/>
      <c r="W29" s="20"/>
      <c r="X29" s="20"/>
      <c r="Y29" s="20"/>
      <c r="Z29" s="20"/>
      <c r="AA29" s="20"/>
      <c r="AB29" s="20"/>
    </row>
    <row r="30" spans="1:28" x14ac:dyDescent="0.3">
      <c r="A30" s="20"/>
      <c r="B30" s="20"/>
      <c r="C30" s="20"/>
      <c r="D30" s="20"/>
      <c r="E30" s="20"/>
      <c r="F30" s="20"/>
      <c r="G30" s="20"/>
      <c r="H30" s="20"/>
      <c r="I30" s="20"/>
      <c r="J30" s="20"/>
      <c r="K30" s="20"/>
      <c r="L30" s="20"/>
      <c r="M30" s="20"/>
      <c r="N30" s="20"/>
      <c r="O30" s="44" t="s">
        <v>24</v>
      </c>
      <c r="P30" s="40">
        <v>1233</v>
      </c>
      <c r="Q30" s="40">
        <v>223</v>
      </c>
      <c r="R30" s="40">
        <v>1680</v>
      </c>
      <c r="S30" s="40">
        <v>990</v>
      </c>
      <c r="T30" s="40">
        <v>1508</v>
      </c>
      <c r="U30" s="45">
        <v>5634</v>
      </c>
      <c r="V30" s="20"/>
      <c r="W30" s="20"/>
      <c r="X30" s="20"/>
      <c r="Y30" s="20"/>
      <c r="Z30" s="20"/>
      <c r="AA30" s="20"/>
      <c r="AB30" s="20"/>
    </row>
    <row r="31" spans="1:28" x14ac:dyDescent="0.3">
      <c r="A31" s="20"/>
      <c r="B31" s="20"/>
      <c r="C31" s="20"/>
      <c r="D31" s="20"/>
      <c r="E31" s="20"/>
      <c r="F31" s="20"/>
      <c r="G31" s="20"/>
      <c r="H31" s="20"/>
      <c r="I31" s="20"/>
      <c r="J31" s="20"/>
      <c r="K31" s="20"/>
      <c r="L31" s="20"/>
      <c r="M31" s="20"/>
      <c r="N31" s="20"/>
      <c r="O31" s="44" t="s">
        <v>15</v>
      </c>
      <c r="P31" s="40">
        <v>1598</v>
      </c>
      <c r="Q31" s="40">
        <v>1907</v>
      </c>
      <c r="R31" s="40">
        <v>869</v>
      </c>
      <c r="S31" s="40">
        <v>1426</v>
      </c>
      <c r="T31" s="40">
        <v>1416</v>
      </c>
      <c r="U31" s="45">
        <v>7216</v>
      </c>
      <c r="V31" s="20"/>
      <c r="W31" s="20"/>
      <c r="X31" s="20"/>
      <c r="Y31" s="20"/>
      <c r="Z31" s="20"/>
      <c r="AA31" s="20"/>
      <c r="AB31" s="20"/>
    </row>
    <row r="32" spans="1:28" x14ac:dyDescent="0.3">
      <c r="A32" s="20"/>
      <c r="B32" s="20"/>
      <c r="C32" s="20"/>
      <c r="D32" s="20"/>
      <c r="E32" s="20"/>
      <c r="F32" s="20"/>
      <c r="G32" s="20"/>
      <c r="H32" s="20"/>
      <c r="I32" s="20"/>
      <c r="J32" s="20"/>
      <c r="K32" s="52"/>
      <c r="L32" s="52"/>
      <c r="M32" s="52"/>
      <c r="N32" s="20"/>
      <c r="O32" s="44" t="s">
        <v>5</v>
      </c>
      <c r="P32" s="40">
        <v>900</v>
      </c>
      <c r="Q32" s="40">
        <v>1016</v>
      </c>
      <c r="R32" s="40">
        <v>960</v>
      </c>
      <c r="S32" s="40">
        <v>940</v>
      </c>
      <c r="T32" s="40">
        <v>1193</v>
      </c>
      <c r="U32" s="45">
        <v>5009</v>
      </c>
      <c r="V32" s="20"/>
      <c r="W32" s="20"/>
      <c r="X32" s="20"/>
      <c r="Y32" s="20"/>
      <c r="Z32" s="20"/>
      <c r="AA32" s="20"/>
      <c r="AB32" s="20"/>
    </row>
    <row r="33" spans="1:28" x14ac:dyDescent="0.3">
      <c r="A33" s="20"/>
      <c r="B33" s="20"/>
      <c r="C33" s="20"/>
      <c r="D33" s="20"/>
      <c r="E33" s="20"/>
      <c r="F33" s="20"/>
      <c r="G33" s="20"/>
      <c r="H33" s="20"/>
      <c r="I33" s="20"/>
      <c r="J33" s="20"/>
      <c r="K33" s="52"/>
      <c r="L33" s="52"/>
      <c r="M33" s="52"/>
      <c r="N33" s="20"/>
      <c r="O33" s="44" t="s">
        <v>18</v>
      </c>
      <c r="P33" s="40">
        <v>900</v>
      </c>
      <c r="Q33" s="40">
        <v>1470</v>
      </c>
      <c r="R33" s="40">
        <v>1617</v>
      </c>
      <c r="S33" s="40">
        <v>1314</v>
      </c>
      <c r="T33" s="40">
        <v>941</v>
      </c>
      <c r="U33" s="45">
        <v>6242</v>
      </c>
      <c r="V33" s="20"/>
      <c r="W33" s="20"/>
      <c r="X33" s="20"/>
      <c r="Y33" s="20"/>
      <c r="Z33" s="20"/>
      <c r="AA33" s="20"/>
      <c r="AB33" s="20"/>
    </row>
    <row r="34" spans="1:28" x14ac:dyDescent="0.3">
      <c r="A34" s="20"/>
      <c r="B34" s="20"/>
      <c r="C34" s="20"/>
      <c r="D34" s="20"/>
      <c r="E34" s="20"/>
      <c r="F34" s="20"/>
      <c r="G34" s="20"/>
      <c r="H34" s="20"/>
      <c r="I34" s="20"/>
      <c r="J34" s="20"/>
      <c r="K34" s="52"/>
      <c r="L34" s="52"/>
      <c r="M34" s="52"/>
      <c r="N34" s="20"/>
      <c r="O34" s="44" t="s">
        <v>14</v>
      </c>
      <c r="P34" s="40">
        <v>1255</v>
      </c>
      <c r="Q34" s="40">
        <v>516</v>
      </c>
      <c r="R34" s="40">
        <v>1874</v>
      </c>
      <c r="S34" s="40">
        <v>1863</v>
      </c>
      <c r="T34" s="40">
        <v>1722</v>
      </c>
      <c r="U34" s="45">
        <v>7230</v>
      </c>
      <c r="V34" s="20"/>
      <c r="W34" s="20"/>
      <c r="X34" s="20"/>
      <c r="Y34" s="20"/>
      <c r="Z34" s="20"/>
      <c r="AA34" s="20"/>
      <c r="AB34" s="20"/>
    </row>
    <row r="35" spans="1:28" x14ac:dyDescent="0.3">
      <c r="A35" s="20"/>
      <c r="B35" s="20"/>
      <c r="C35" s="20"/>
      <c r="D35" s="20"/>
      <c r="E35" s="20"/>
      <c r="F35" s="20"/>
      <c r="G35" s="20"/>
      <c r="H35" s="20"/>
      <c r="I35" s="20"/>
      <c r="J35" s="20"/>
      <c r="K35" s="52"/>
      <c r="L35" s="52"/>
      <c r="M35" s="52"/>
      <c r="N35" s="20"/>
      <c r="O35" s="44" t="s">
        <v>19</v>
      </c>
      <c r="P35" s="40">
        <v>1138</v>
      </c>
      <c r="Q35" s="40">
        <v>1898</v>
      </c>
      <c r="R35" s="40">
        <v>1482</v>
      </c>
      <c r="S35" s="40">
        <v>846</v>
      </c>
      <c r="T35" s="40">
        <v>1154</v>
      </c>
      <c r="U35" s="45">
        <v>6518</v>
      </c>
      <c r="V35" s="20"/>
      <c r="W35" s="20"/>
      <c r="X35" s="20"/>
      <c r="Y35" s="20"/>
      <c r="Z35" s="20"/>
      <c r="AA35" s="20"/>
      <c r="AB35" s="20"/>
    </row>
    <row r="36" spans="1:28" x14ac:dyDescent="0.3">
      <c r="A36" s="20"/>
      <c r="B36" s="20"/>
      <c r="C36" s="20"/>
      <c r="D36" s="20"/>
      <c r="E36" s="20"/>
      <c r="F36" s="20"/>
      <c r="G36" s="20"/>
      <c r="H36" s="20"/>
      <c r="I36" s="20"/>
      <c r="J36" s="20"/>
      <c r="K36" s="20"/>
      <c r="L36" s="54"/>
      <c r="M36" s="54"/>
      <c r="N36" s="20"/>
      <c r="O36" s="42" t="s">
        <v>999</v>
      </c>
      <c r="P36" s="39"/>
      <c r="Q36" s="39"/>
      <c r="R36" s="39"/>
      <c r="S36" s="39"/>
      <c r="T36" s="39"/>
      <c r="U36" s="43"/>
      <c r="V36" s="20"/>
      <c r="W36" s="20"/>
      <c r="X36" s="20"/>
      <c r="Y36" s="20"/>
      <c r="Z36" s="20"/>
      <c r="AA36" s="20"/>
      <c r="AB36" s="20"/>
    </row>
    <row r="37" spans="1:28" x14ac:dyDescent="0.3">
      <c r="A37" s="20"/>
      <c r="B37" s="20"/>
      <c r="C37" s="20"/>
      <c r="D37" s="20"/>
      <c r="E37" s="20"/>
      <c r="F37" s="20"/>
      <c r="G37" s="20"/>
      <c r="H37" s="20"/>
      <c r="I37" s="20"/>
      <c r="J37" s="20"/>
      <c r="K37" s="20"/>
      <c r="L37" s="54"/>
      <c r="M37" s="54"/>
      <c r="N37" s="20"/>
      <c r="O37" s="44" t="s">
        <v>17</v>
      </c>
      <c r="P37" s="40">
        <v>1655</v>
      </c>
      <c r="Q37" s="40">
        <v>805</v>
      </c>
      <c r="R37" s="40">
        <v>2263</v>
      </c>
      <c r="S37" s="40">
        <v>987</v>
      </c>
      <c r="T37" s="40">
        <v>1075</v>
      </c>
      <c r="U37" s="45">
        <v>6785</v>
      </c>
      <c r="V37" s="20"/>
      <c r="W37" s="20"/>
      <c r="X37" s="20"/>
      <c r="Y37" s="20"/>
      <c r="Z37" s="20"/>
      <c r="AA37" s="20"/>
      <c r="AB37" s="20"/>
    </row>
    <row r="38" spans="1:28" x14ac:dyDescent="0.3">
      <c r="A38" s="20"/>
      <c r="B38" s="20"/>
      <c r="C38" s="20"/>
      <c r="D38" s="20"/>
      <c r="E38" s="20"/>
      <c r="F38" s="20"/>
      <c r="G38" s="20"/>
      <c r="H38" s="20"/>
      <c r="I38" s="20"/>
      <c r="J38" s="20"/>
      <c r="K38" s="20"/>
      <c r="L38" s="54"/>
      <c r="M38" s="54"/>
      <c r="N38" s="20"/>
      <c r="O38" s="44" t="s">
        <v>23</v>
      </c>
      <c r="P38" s="40">
        <v>1104</v>
      </c>
      <c r="Q38" s="40">
        <v>2280</v>
      </c>
      <c r="R38" s="40">
        <v>1445</v>
      </c>
      <c r="S38" s="40">
        <v>1722</v>
      </c>
      <c r="T38" s="40">
        <v>1196</v>
      </c>
      <c r="U38" s="45">
        <v>7747</v>
      </c>
      <c r="V38" s="20"/>
      <c r="W38" s="20"/>
      <c r="X38" s="20"/>
      <c r="Y38" s="20"/>
      <c r="Z38" s="20"/>
      <c r="AA38" s="20"/>
      <c r="AB38" s="20"/>
    </row>
    <row r="39" spans="1:28" x14ac:dyDescent="0.3">
      <c r="A39" s="20"/>
      <c r="B39" s="20"/>
      <c r="C39" s="20"/>
      <c r="D39" s="20"/>
      <c r="E39" s="20"/>
      <c r="F39" s="20"/>
      <c r="G39" s="20"/>
      <c r="H39" s="20"/>
      <c r="I39" s="20"/>
      <c r="J39" s="20"/>
      <c r="K39" s="20"/>
      <c r="L39" s="20"/>
      <c r="M39" s="20"/>
      <c r="N39" s="20"/>
      <c r="O39" s="44" t="s">
        <v>7</v>
      </c>
      <c r="P39" s="40">
        <v>372</v>
      </c>
      <c r="Q39" s="40">
        <v>1818</v>
      </c>
      <c r="R39" s="40">
        <v>1346</v>
      </c>
      <c r="S39" s="40">
        <v>1156</v>
      </c>
      <c r="T39" s="40">
        <v>1484</v>
      </c>
      <c r="U39" s="45">
        <v>6176</v>
      </c>
      <c r="V39" s="20"/>
      <c r="W39" s="20"/>
      <c r="X39" s="20"/>
      <c r="Y39" s="20"/>
      <c r="Z39" s="20"/>
      <c r="AA39" s="20"/>
      <c r="AB39" s="20"/>
    </row>
    <row r="40" spans="1:28" x14ac:dyDescent="0.3">
      <c r="A40" s="20"/>
      <c r="B40" s="20"/>
      <c r="C40" s="20"/>
      <c r="D40" s="20"/>
      <c r="E40" s="20"/>
      <c r="F40" s="20"/>
      <c r="G40" s="20"/>
      <c r="H40" s="20"/>
      <c r="I40" s="20"/>
      <c r="J40" s="20"/>
      <c r="K40" s="20"/>
      <c r="L40" s="20"/>
      <c r="M40" s="20"/>
      <c r="N40" s="20"/>
      <c r="O40" s="44" t="s">
        <v>22</v>
      </c>
      <c r="P40" s="40">
        <v>1415</v>
      </c>
      <c r="Q40" s="40">
        <v>1271</v>
      </c>
      <c r="R40" s="40">
        <v>1214</v>
      </c>
      <c r="S40" s="40">
        <v>1135</v>
      </c>
      <c r="T40" s="40">
        <v>1566</v>
      </c>
      <c r="U40" s="45">
        <v>6601</v>
      </c>
      <c r="V40" s="20"/>
      <c r="W40" s="20"/>
      <c r="X40" s="20"/>
      <c r="Y40" s="20"/>
      <c r="Z40" s="20"/>
      <c r="AA40" s="20"/>
      <c r="AB40" s="20"/>
    </row>
    <row r="41" spans="1:28" x14ac:dyDescent="0.3">
      <c r="A41" s="20"/>
      <c r="B41" s="20"/>
      <c r="C41" s="20"/>
      <c r="D41" s="20"/>
      <c r="E41" s="20"/>
      <c r="F41" s="20"/>
      <c r="G41" s="20"/>
      <c r="H41" s="20"/>
      <c r="I41" s="20"/>
      <c r="J41" s="20"/>
      <c r="K41" s="20"/>
      <c r="L41" s="20"/>
      <c r="M41" s="20"/>
      <c r="N41" s="20"/>
      <c r="O41" s="46" t="s">
        <v>21</v>
      </c>
      <c r="P41" s="47">
        <v>1362</v>
      </c>
      <c r="Q41" s="47">
        <v>1363</v>
      </c>
      <c r="R41" s="47">
        <v>1152</v>
      </c>
      <c r="S41" s="47">
        <v>777</v>
      </c>
      <c r="T41" s="47">
        <v>750</v>
      </c>
      <c r="U41" s="48">
        <v>5404</v>
      </c>
      <c r="V41" s="20"/>
      <c r="W41" s="20"/>
      <c r="X41" s="20"/>
      <c r="Y41" s="20"/>
      <c r="Z41" s="20"/>
      <c r="AA41" s="20"/>
      <c r="AB41" s="20"/>
    </row>
    <row r="42" spans="1:28"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row>
    <row r="43" spans="1:28"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row>
    <row r="44" spans="1:28"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row>
    <row r="45" spans="1:28"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row>
    <row r="46" spans="1:28"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row>
    <row r="47" spans="1:28"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row>
    <row r="48" spans="1:28"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row>
    <row r="49" spans="1:28"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row>
    <row r="50" spans="1:28"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row>
  </sheetData>
  <mergeCells count="4">
    <mergeCell ref="C2:J5"/>
    <mergeCell ref="L36:M36"/>
    <mergeCell ref="L37:M37"/>
    <mergeCell ref="L38:M38"/>
  </mergeCells>
  <phoneticPr fontId="2" type="noConversion"/>
  <conditionalFormatting sqref="P25:T41">
    <cfRule type="dataBar" priority="5">
      <dataBar>
        <cfvo type="num" val="0"/>
        <cfvo type="formula" val="MAX($P$25:$T$41)*2"/>
        <color theme="1"/>
      </dataBar>
      <extLst>
        <ext xmlns:x14="http://schemas.microsoft.com/office/spreadsheetml/2009/9/main" uri="{B025F937-C7B1-47D3-B67F-A62EFF666E3E}">
          <x14:id>{65FEA7BE-81EF-43FB-8127-6ECC54FBC88B}</x14:id>
        </ext>
      </extLst>
    </cfRule>
  </conditionalFormatting>
  <pageMargins left="0.70866141732283472" right="0.70866141732283472" top="0.74803149606299213" bottom="0.74803149606299213" header="0.31496062992125984" footer="0.31496062992125984"/>
  <pageSetup paperSize="9" scale="62" fitToWidth="0"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6" id="{B067E50F-0F8D-4E03-AA1C-2FEEF50AC4D2}">
            <xm:f>P$23=Sheet2!$A$69</xm:f>
            <x14:dxf>
              <fill>
                <patternFill>
                  <bgColor theme="8" tint="0.39994506668294322"/>
                </patternFill>
              </fill>
              <border>
                <left/>
                <right/>
                <vertical/>
                <horizontal/>
              </border>
            </x14:dxf>
          </x14:cfRule>
          <xm:sqref>P23:T41</xm:sqref>
        </x14:conditionalFormatting>
        <x14:conditionalFormatting xmlns:xm="http://schemas.microsoft.com/office/excel/2006/main">
          <x14:cfRule type="dataBar" id="{65FEA7BE-81EF-43FB-8127-6ECC54FBC88B}">
            <x14:dataBar minLength="0" maxLength="100" gradient="0">
              <x14:cfvo type="num">
                <xm:f>0</xm:f>
              </x14:cfvo>
              <x14:cfvo type="formula">
                <xm:f>MAX($P$25:$T$41)*2</xm:f>
              </x14:cfvo>
              <x14:negativeFillColor rgb="FFFF0000"/>
              <x14:axisColor rgb="FF000000"/>
            </x14:dataBar>
          </x14:cfRule>
          <xm:sqref>P25:T41</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1FD6C-DE9F-417C-982B-6DD7D579E7DE}">
  <dimension ref="A3:C20"/>
  <sheetViews>
    <sheetView workbookViewId="0">
      <selection activeCell="G14" sqref="G14"/>
    </sheetView>
  </sheetViews>
  <sheetFormatPr defaultRowHeight="14.4" x14ac:dyDescent="0.3"/>
  <sheetData>
    <row r="3" spans="1:3" x14ac:dyDescent="0.3">
      <c r="A3" s="25"/>
      <c r="B3" s="26"/>
      <c r="C3" s="27"/>
    </row>
    <row r="4" spans="1:3" x14ac:dyDescent="0.3">
      <c r="A4" s="28"/>
      <c r="B4" s="29"/>
      <c r="C4" s="30"/>
    </row>
    <row r="5" spans="1:3" x14ac:dyDescent="0.3">
      <c r="A5" s="28"/>
      <c r="B5" s="29"/>
      <c r="C5" s="30"/>
    </row>
    <row r="6" spans="1:3" x14ac:dyDescent="0.3">
      <c r="A6" s="28"/>
      <c r="B6" s="29"/>
      <c r="C6" s="30"/>
    </row>
    <row r="7" spans="1:3" x14ac:dyDescent="0.3">
      <c r="A7" s="28"/>
      <c r="B7" s="29"/>
      <c r="C7" s="30"/>
    </row>
    <row r="8" spans="1:3" x14ac:dyDescent="0.3">
      <c r="A8" s="28"/>
      <c r="B8" s="29"/>
      <c r="C8" s="30"/>
    </row>
    <row r="9" spans="1:3" x14ac:dyDescent="0.3">
      <c r="A9" s="28"/>
      <c r="B9" s="29"/>
      <c r="C9" s="30"/>
    </row>
    <row r="10" spans="1:3" x14ac:dyDescent="0.3">
      <c r="A10" s="28"/>
      <c r="B10" s="29"/>
      <c r="C10" s="30"/>
    </row>
    <row r="11" spans="1:3" x14ac:dyDescent="0.3">
      <c r="A11" s="28"/>
      <c r="B11" s="29"/>
      <c r="C11" s="30"/>
    </row>
    <row r="12" spans="1:3" x14ac:dyDescent="0.3">
      <c r="A12" s="28"/>
      <c r="B12" s="29"/>
      <c r="C12" s="30"/>
    </row>
    <row r="13" spans="1:3" x14ac:dyDescent="0.3">
      <c r="A13" s="28"/>
      <c r="B13" s="29"/>
      <c r="C13" s="30"/>
    </row>
    <row r="14" spans="1:3" x14ac:dyDescent="0.3">
      <c r="A14" s="28"/>
      <c r="B14" s="29"/>
      <c r="C14" s="30"/>
    </row>
    <row r="15" spans="1:3" x14ac:dyDescent="0.3">
      <c r="A15" s="28"/>
      <c r="B15" s="29"/>
      <c r="C15" s="30"/>
    </row>
    <row r="16" spans="1:3" x14ac:dyDescent="0.3">
      <c r="A16" s="28"/>
      <c r="B16" s="29"/>
      <c r="C16" s="30"/>
    </row>
    <row r="17" spans="1:3" x14ac:dyDescent="0.3">
      <c r="A17" s="28"/>
      <c r="B17" s="29"/>
      <c r="C17" s="30"/>
    </row>
    <row r="18" spans="1:3" x14ac:dyDescent="0.3">
      <c r="A18" s="28"/>
      <c r="B18" s="29"/>
      <c r="C18" s="30"/>
    </row>
    <row r="19" spans="1:3" x14ac:dyDescent="0.3">
      <c r="A19" s="28"/>
      <c r="B19" s="29"/>
      <c r="C19" s="30"/>
    </row>
    <row r="20" spans="1:3" x14ac:dyDescent="0.3">
      <c r="A20" s="31"/>
      <c r="B20" s="32"/>
      <c r="C20" s="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E5CD5-4775-4843-B895-49E54F0855A0}">
  <dimension ref="A3:C20"/>
  <sheetViews>
    <sheetView workbookViewId="0">
      <selection activeCell="A3" sqref="A3"/>
    </sheetView>
  </sheetViews>
  <sheetFormatPr defaultRowHeight="14.4" x14ac:dyDescent="0.3"/>
  <sheetData>
    <row r="3" spans="1:3" x14ac:dyDescent="0.3">
      <c r="A3" s="25"/>
      <c r="B3" s="26"/>
      <c r="C3" s="27"/>
    </row>
    <row r="4" spans="1:3" x14ac:dyDescent="0.3">
      <c r="A4" s="28"/>
      <c r="B4" s="29"/>
      <c r="C4" s="30"/>
    </row>
    <row r="5" spans="1:3" x14ac:dyDescent="0.3">
      <c r="A5" s="28"/>
      <c r="B5" s="29"/>
      <c r="C5" s="30"/>
    </row>
    <row r="6" spans="1:3" x14ac:dyDescent="0.3">
      <c r="A6" s="28"/>
      <c r="B6" s="29"/>
      <c r="C6" s="30"/>
    </row>
    <row r="7" spans="1:3" x14ac:dyDescent="0.3">
      <c r="A7" s="28"/>
      <c r="B7" s="29"/>
      <c r="C7" s="30"/>
    </row>
    <row r="8" spans="1:3" x14ac:dyDescent="0.3">
      <c r="A8" s="28"/>
      <c r="B8" s="29"/>
      <c r="C8" s="30"/>
    </row>
    <row r="9" spans="1:3" x14ac:dyDescent="0.3">
      <c r="A9" s="28"/>
      <c r="B9" s="29"/>
      <c r="C9" s="30"/>
    </row>
    <row r="10" spans="1:3" x14ac:dyDescent="0.3">
      <c r="A10" s="28"/>
      <c r="B10" s="29"/>
      <c r="C10" s="30"/>
    </row>
    <row r="11" spans="1:3" x14ac:dyDescent="0.3">
      <c r="A11" s="28"/>
      <c r="B11" s="29"/>
      <c r="C11" s="30"/>
    </row>
    <row r="12" spans="1:3" x14ac:dyDescent="0.3">
      <c r="A12" s="28"/>
      <c r="B12" s="29"/>
      <c r="C12" s="30"/>
    </row>
    <row r="13" spans="1:3" x14ac:dyDescent="0.3">
      <c r="A13" s="28"/>
      <c r="B13" s="29"/>
      <c r="C13" s="30"/>
    </row>
    <row r="14" spans="1:3" x14ac:dyDescent="0.3">
      <c r="A14" s="28"/>
      <c r="B14" s="29"/>
      <c r="C14" s="30"/>
    </row>
    <row r="15" spans="1:3" x14ac:dyDescent="0.3">
      <c r="A15" s="28"/>
      <c r="B15" s="29"/>
      <c r="C15" s="30"/>
    </row>
    <row r="16" spans="1:3" x14ac:dyDescent="0.3">
      <c r="A16" s="28"/>
      <c r="B16" s="29"/>
      <c r="C16" s="30"/>
    </row>
    <row r="17" spans="1:3" x14ac:dyDescent="0.3">
      <c r="A17" s="28"/>
      <c r="B17" s="29"/>
      <c r="C17" s="30"/>
    </row>
    <row r="18" spans="1:3" x14ac:dyDescent="0.3">
      <c r="A18" s="28"/>
      <c r="B18" s="29"/>
      <c r="C18" s="30"/>
    </row>
    <row r="19" spans="1:3" x14ac:dyDescent="0.3">
      <c r="A19" s="28"/>
      <c r="B19" s="29"/>
      <c r="C19" s="30"/>
    </row>
    <row r="20" spans="1:3" x14ac:dyDescent="0.3">
      <c r="A20" s="31"/>
      <c r="B20" s="32"/>
      <c r="C20" s="3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4" zoomScaleNormal="100" workbookViewId="0">
      <selection activeCell="C23" sqref="C23"/>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1002</v>
      </c>
    </row>
    <row r="2" spans="2:20" x14ac:dyDescent="0.3">
      <c r="R2" s="1"/>
    </row>
    <row r="3" spans="2:20" x14ac:dyDescent="0.3">
      <c r="B3" s="14" t="s">
        <v>25</v>
      </c>
      <c r="C3" s="14" t="s">
        <v>0</v>
      </c>
      <c r="D3" s="15" t="s">
        <v>1</v>
      </c>
      <c r="E3" s="16" t="s">
        <v>3</v>
      </c>
      <c r="F3" s="16" t="s">
        <v>4</v>
      </c>
      <c r="G3" s="14" t="s">
        <v>2</v>
      </c>
      <c r="H3" s="14" t="s">
        <v>994</v>
      </c>
      <c r="I3" t="s">
        <v>1035</v>
      </c>
      <c r="J3" t="s">
        <v>1036</v>
      </c>
      <c r="K3" t="s">
        <v>1037</v>
      </c>
      <c r="L3" t="s">
        <v>1038</v>
      </c>
      <c r="Q3" s="8" t="s">
        <v>0</v>
      </c>
      <c r="R3" s="9" t="s">
        <v>1042</v>
      </c>
      <c r="S3" s="9" t="s">
        <v>995</v>
      </c>
      <c r="T3" s="10" t="s">
        <v>996</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997</v>
      </c>
      <c r="S4" s="2">
        <v>41</v>
      </c>
      <c r="T4" s="7" t="s">
        <v>999</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997</v>
      </c>
      <c r="S5" s="2">
        <v>31</v>
      </c>
      <c r="T5" s="7" t="s">
        <v>1000</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997</v>
      </c>
      <c r="S6" s="2">
        <v>26</v>
      </c>
      <c r="T6" s="7" t="s">
        <v>1001</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997</v>
      </c>
      <c r="S7" s="2">
        <v>36</v>
      </c>
      <c r="T7" s="7" t="s">
        <v>1001</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997</v>
      </c>
      <c r="S8" s="2">
        <v>37</v>
      </c>
      <c r="T8" s="7" t="s">
        <v>999</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997</v>
      </c>
      <c r="S9" s="2">
        <v>23</v>
      </c>
      <c r="T9" s="7" t="s">
        <v>999</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998</v>
      </c>
      <c r="S10" s="2">
        <v>22</v>
      </c>
      <c r="T10" s="7" t="s">
        <v>1000</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998</v>
      </c>
      <c r="S11" s="2">
        <v>42</v>
      </c>
      <c r="T11" s="7" t="s">
        <v>1000</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998</v>
      </c>
      <c r="S12" s="2">
        <v>25</v>
      </c>
      <c r="T12" s="7" t="s">
        <v>999</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998</v>
      </c>
      <c r="S13" s="2">
        <v>30</v>
      </c>
      <c r="T13" s="7" t="s">
        <v>1000</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998</v>
      </c>
      <c r="S14" s="2">
        <v>30</v>
      </c>
      <c r="T14" s="7" t="s">
        <v>1001</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998</v>
      </c>
      <c r="S15" s="2">
        <v>28</v>
      </c>
      <c r="T15" s="7" t="s">
        <v>1001</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998</v>
      </c>
      <c r="S16" s="2">
        <v>37</v>
      </c>
      <c r="T16" s="7" t="s">
        <v>1000</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998</v>
      </c>
      <c r="S17" s="2">
        <v>38</v>
      </c>
      <c r="T17" s="7" t="s">
        <v>999</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998</v>
      </c>
      <c r="S18" s="12">
        <v>43</v>
      </c>
      <c r="T18" s="13" t="s">
        <v>1000</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1003</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1004</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1005</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1006</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1007</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1008</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1009</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1010</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1011</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1012</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1013</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1014</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1015</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1016</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1017</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1018</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1019</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1020</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1021</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1022</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1023</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1024</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1025</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1026</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1027</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1028</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1029</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1030</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1031</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1032</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1033</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1034</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9EE68-74E1-4009-BF61-3D02513E74C7}">
  <dimension ref="A3:J121"/>
  <sheetViews>
    <sheetView topLeftCell="A64" zoomScale="160" zoomScaleNormal="160" workbookViewId="0">
      <selection activeCell="H76" sqref="H76"/>
    </sheetView>
  </sheetViews>
  <sheetFormatPr defaultRowHeight="14.4" x14ac:dyDescent="0.3"/>
  <cols>
    <col min="1" max="1" width="12.19921875" bestFit="1" customWidth="1"/>
    <col min="2" max="2" width="15.19921875" bestFit="1" customWidth="1"/>
    <col min="3" max="3" width="10.3984375" bestFit="1" customWidth="1"/>
    <col min="4" max="4" width="9.8984375" bestFit="1" customWidth="1"/>
    <col min="5" max="5" width="7.296875" bestFit="1" customWidth="1"/>
    <col min="6" max="6" width="12.19921875" bestFit="1" customWidth="1"/>
    <col min="7" max="7" width="9.5" bestFit="1" customWidth="1"/>
    <col min="8" max="8" width="10.69921875" bestFit="1" customWidth="1"/>
    <col min="9" max="9" width="12.59765625" bestFit="1" customWidth="1"/>
  </cols>
  <sheetData>
    <row r="3" spans="1:5" x14ac:dyDescent="0.3">
      <c r="A3" t="s">
        <v>1043</v>
      </c>
      <c r="B3" t="s">
        <v>1044</v>
      </c>
      <c r="C3" t="s">
        <v>1045</v>
      </c>
      <c r="D3" t="s">
        <v>1046</v>
      </c>
      <c r="E3" t="s">
        <v>1047</v>
      </c>
    </row>
    <row r="4" spans="1:5" x14ac:dyDescent="0.3">
      <c r="A4" s="21">
        <v>1000</v>
      </c>
      <c r="B4" s="22">
        <v>96623</v>
      </c>
      <c r="C4" s="21">
        <v>89850</v>
      </c>
      <c r="D4" s="23">
        <v>3.8854000000000033</v>
      </c>
      <c r="E4" s="21">
        <v>307</v>
      </c>
    </row>
    <row r="9" spans="1:5" x14ac:dyDescent="0.3">
      <c r="A9" t="s">
        <v>1043</v>
      </c>
      <c r="B9" t="s">
        <v>1044</v>
      </c>
      <c r="C9" t="s">
        <v>1045</v>
      </c>
      <c r="D9" t="s">
        <v>1046</v>
      </c>
      <c r="E9" t="s">
        <v>1047</v>
      </c>
    </row>
    <row r="10" spans="1:5" x14ac:dyDescent="0.3">
      <c r="A10" s="21">
        <v>189</v>
      </c>
      <c r="B10" s="22">
        <v>18415</v>
      </c>
      <c r="C10" s="21">
        <v>16834</v>
      </c>
      <c r="D10" s="23">
        <v>3.9227513227513247</v>
      </c>
      <c r="E10" s="21">
        <v>60</v>
      </c>
    </row>
    <row r="24" spans="1:7" x14ac:dyDescent="0.3">
      <c r="A24" s="24" t="s">
        <v>1048</v>
      </c>
      <c r="B24" t="s">
        <v>1043</v>
      </c>
      <c r="C24" t="s">
        <v>1062</v>
      </c>
      <c r="F24" s="24" t="s">
        <v>1048</v>
      </c>
      <c r="G24" t="s">
        <v>1043</v>
      </c>
    </row>
    <row r="25" spans="1:7" x14ac:dyDescent="0.3">
      <c r="A25" s="34" t="s">
        <v>1050</v>
      </c>
      <c r="B25" s="21">
        <v>16</v>
      </c>
      <c r="C25" s="21">
        <v>16</v>
      </c>
      <c r="F25" s="34" t="s">
        <v>1064</v>
      </c>
      <c r="G25" s="21">
        <v>30</v>
      </c>
    </row>
    <row r="26" spans="1:7" x14ac:dyDescent="0.3">
      <c r="A26" s="34" t="s">
        <v>1051</v>
      </c>
      <c r="B26" s="21">
        <v>14</v>
      </c>
      <c r="C26" s="21">
        <v>14</v>
      </c>
      <c r="F26" s="34" t="s">
        <v>1068</v>
      </c>
      <c r="G26" s="21">
        <v>13</v>
      </c>
    </row>
    <row r="27" spans="1:7" x14ac:dyDescent="0.3">
      <c r="A27" s="34" t="s">
        <v>1052</v>
      </c>
      <c r="B27" s="21">
        <v>26</v>
      </c>
      <c r="C27" s="21">
        <v>26</v>
      </c>
      <c r="F27" s="34" t="s">
        <v>1069</v>
      </c>
      <c r="G27" s="21">
        <v>23</v>
      </c>
    </row>
    <row r="28" spans="1:7" x14ac:dyDescent="0.3">
      <c r="A28" s="34" t="s">
        <v>1053</v>
      </c>
      <c r="B28" s="21">
        <v>29</v>
      </c>
      <c r="C28" s="21">
        <v>29</v>
      </c>
      <c r="F28" s="34" t="s">
        <v>1067</v>
      </c>
      <c r="G28" s="21">
        <v>23</v>
      </c>
    </row>
    <row r="29" spans="1:7" x14ac:dyDescent="0.3">
      <c r="A29" s="34" t="s">
        <v>1054</v>
      </c>
      <c r="B29" s="21">
        <v>17</v>
      </c>
      <c r="C29" s="21">
        <v>17</v>
      </c>
      <c r="F29" s="34" t="s">
        <v>1063</v>
      </c>
      <c r="G29" s="21">
        <v>24</v>
      </c>
    </row>
    <row r="30" spans="1:7" x14ac:dyDescent="0.3">
      <c r="A30" s="34" t="s">
        <v>1055</v>
      </c>
      <c r="B30" s="21">
        <v>15</v>
      </c>
      <c r="C30" s="21">
        <v>15</v>
      </c>
      <c r="F30" s="34" t="s">
        <v>1065</v>
      </c>
      <c r="G30" s="21">
        <v>40</v>
      </c>
    </row>
    <row r="31" spans="1:7" x14ac:dyDescent="0.3">
      <c r="A31" s="34" t="s">
        <v>1056</v>
      </c>
      <c r="B31" s="21">
        <v>15</v>
      </c>
      <c r="C31" s="21">
        <v>15</v>
      </c>
      <c r="F31" s="34" t="s">
        <v>1066</v>
      </c>
      <c r="G31" s="21">
        <v>36</v>
      </c>
    </row>
    <row r="32" spans="1:7" x14ac:dyDescent="0.3">
      <c r="A32" s="34" t="s">
        <v>1057</v>
      </c>
      <c r="B32" s="21">
        <v>7</v>
      </c>
      <c r="C32" s="21">
        <v>7</v>
      </c>
      <c r="F32" s="34" t="s">
        <v>1049</v>
      </c>
      <c r="G32" s="21">
        <v>189</v>
      </c>
    </row>
    <row r="33" spans="1:10" x14ac:dyDescent="0.3">
      <c r="A33" s="34" t="s">
        <v>1058</v>
      </c>
      <c r="B33" s="21">
        <v>11</v>
      </c>
      <c r="C33" s="21">
        <v>11</v>
      </c>
    </row>
    <row r="34" spans="1:10" x14ac:dyDescent="0.3">
      <c r="A34" s="34" t="s">
        <v>1059</v>
      </c>
      <c r="B34" s="21">
        <v>24</v>
      </c>
      <c r="C34" s="21">
        <v>24</v>
      </c>
    </row>
    <row r="35" spans="1:10" x14ac:dyDescent="0.3">
      <c r="A35" s="34" t="s">
        <v>1060</v>
      </c>
      <c r="B35" s="21">
        <v>9</v>
      </c>
      <c r="C35" s="21">
        <v>9</v>
      </c>
    </row>
    <row r="36" spans="1:10" x14ac:dyDescent="0.3">
      <c r="A36" s="34" t="s">
        <v>1061</v>
      </c>
      <c r="B36" s="21">
        <v>6</v>
      </c>
      <c r="C36" s="21">
        <v>6</v>
      </c>
    </row>
    <row r="37" spans="1:10" x14ac:dyDescent="0.3">
      <c r="A37" s="34" t="s">
        <v>1049</v>
      </c>
      <c r="B37" s="21">
        <v>189</v>
      </c>
      <c r="C37" s="21">
        <v>189</v>
      </c>
    </row>
    <row r="45" spans="1:10" x14ac:dyDescent="0.3">
      <c r="I45" t="s">
        <v>1076</v>
      </c>
      <c r="J45" t="str">
        <f>A69</f>
        <v>R01</v>
      </c>
    </row>
    <row r="46" spans="1:10" x14ac:dyDescent="0.3">
      <c r="A46" s="24" t="s">
        <v>1048</v>
      </c>
      <c r="B46" t="s">
        <v>1043</v>
      </c>
      <c r="C46" t="s">
        <v>1044</v>
      </c>
      <c r="F46" t="s">
        <v>1070</v>
      </c>
    </row>
    <row r="47" spans="1:10" x14ac:dyDescent="0.3">
      <c r="A47" s="34" t="s">
        <v>11</v>
      </c>
      <c r="B47" s="21">
        <v>189</v>
      </c>
      <c r="C47" s="22">
        <v>18415</v>
      </c>
      <c r="F47" t="s">
        <v>1071</v>
      </c>
      <c r="G47" t="s">
        <v>1072</v>
      </c>
      <c r="H47" t="s">
        <v>1073</v>
      </c>
      <c r="I47" t="s">
        <v>1074</v>
      </c>
      <c r="J47" t="s">
        <v>1075</v>
      </c>
    </row>
    <row r="48" spans="1:10" x14ac:dyDescent="0.3">
      <c r="A48" s="34" t="s">
        <v>9</v>
      </c>
      <c r="B48" s="21">
        <v>218</v>
      </c>
      <c r="C48" s="22">
        <v>20581</v>
      </c>
      <c r="F48" t="str" cm="1">
        <f t="array" ref="F48:H52">A47:C51</f>
        <v>R01</v>
      </c>
      <c r="G48">
        <v>189</v>
      </c>
      <c r="H48" s="36">
        <v>18415</v>
      </c>
      <c r="I48">
        <f>IF(F48=$J$45,G48,NA())</f>
        <v>189</v>
      </c>
      <c r="J48">
        <f>IF(F48=$J$45,H48,NA())</f>
        <v>18415</v>
      </c>
    </row>
    <row r="49" spans="1:10" x14ac:dyDescent="0.3">
      <c r="A49" s="34" t="s">
        <v>6</v>
      </c>
      <c r="B49" s="21">
        <v>207</v>
      </c>
      <c r="C49" s="22">
        <v>20872</v>
      </c>
      <c r="F49" t="str">
        <v>R02</v>
      </c>
      <c r="G49">
        <v>218</v>
      </c>
      <c r="H49" s="36">
        <v>20581</v>
      </c>
      <c r="I49" t="e">
        <f t="shared" ref="I49:I52" si="0">IF(F49=$J$45,G49,NA())</f>
        <v>#N/A</v>
      </c>
      <c r="J49" t="e">
        <f t="shared" ref="J49:J52" si="1">IF(F49=$J$45,H49,NA())</f>
        <v>#N/A</v>
      </c>
    </row>
    <row r="50" spans="1:10" x14ac:dyDescent="0.3">
      <c r="A50" s="34" t="s">
        <v>13</v>
      </c>
      <c r="B50" s="21">
        <v>186</v>
      </c>
      <c r="C50" s="22">
        <v>16651</v>
      </c>
      <c r="F50" t="str">
        <v>R03</v>
      </c>
      <c r="G50">
        <v>207</v>
      </c>
      <c r="H50" s="36">
        <v>20872</v>
      </c>
      <c r="I50" t="e">
        <f t="shared" si="0"/>
        <v>#N/A</v>
      </c>
      <c r="J50" t="e">
        <f t="shared" si="1"/>
        <v>#N/A</v>
      </c>
    </row>
    <row r="51" spans="1:10" x14ac:dyDescent="0.3">
      <c r="A51" s="34" t="s">
        <v>10</v>
      </c>
      <c r="B51" s="21">
        <v>200</v>
      </c>
      <c r="C51" s="22">
        <v>20104</v>
      </c>
      <c r="F51" t="str">
        <v>R04</v>
      </c>
      <c r="G51">
        <v>186</v>
      </c>
      <c r="H51" s="36">
        <v>16651</v>
      </c>
      <c r="I51" t="e">
        <f t="shared" si="0"/>
        <v>#N/A</v>
      </c>
      <c r="J51" t="e">
        <f t="shared" si="1"/>
        <v>#N/A</v>
      </c>
    </row>
    <row r="52" spans="1:10" x14ac:dyDescent="0.3">
      <c r="A52" s="34" t="s">
        <v>1049</v>
      </c>
      <c r="B52" s="21">
        <v>1000</v>
      </c>
      <c r="C52" s="22">
        <v>96623</v>
      </c>
      <c r="F52" t="str">
        <v>R05</v>
      </c>
      <c r="G52">
        <v>200</v>
      </c>
      <c r="H52" s="36">
        <v>20104</v>
      </c>
      <c r="I52" t="e">
        <f t="shared" si="0"/>
        <v>#N/A</v>
      </c>
      <c r="J52" t="e">
        <f t="shared" si="1"/>
        <v>#N/A</v>
      </c>
    </row>
    <row r="68" spans="1:9" x14ac:dyDescent="0.3">
      <c r="A68" s="24" t="s">
        <v>1048</v>
      </c>
    </row>
    <row r="69" spans="1:9" x14ac:dyDescent="0.3">
      <c r="A69" s="37" t="s">
        <v>11</v>
      </c>
      <c r="D69" t="s">
        <v>1079</v>
      </c>
    </row>
    <row r="71" spans="1:9" x14ac:dyDescent="0.3">
      <c r="D71" t="s">
        <v>1080</v>
      </c>
      <c r="E71" s="51">
        <f>A10/A4</f>
        <v>0.189</v>
      </c>
    </row>
    <row r="72" spans="1:9" x14ac:dyDescent="0.3">
      <c r="D72" t="s">
        <v>1081</v>
      </c>
      <c r="E72">
        <f>_xlfn.XLOOKUP(A69,F48:F52,G48:G52)</f>
        <v>189</v>
      </c>
    </row>
    <row r="73" spans="1:9" x14ac:dyDescent="0.3">
      <c r="D73" t="s">
        <v>1082</v>
      </c>
      <c r="E73">
        <f>_xlfn.XLOOKUP(A69,F48:F52,H48:H52)</f>
        <v>18415</v>
      </c>
      <c r="G73" t="s">
        <v>1083</v>
      </c>
    </row>
    <row r="74" spans="1:9" x14ac:dyDescent="0.3">
      <c r="F74" t="s">
        <v>1041</v>
      </c>
    </row>
    <row r="75" spans="1:9" x14ac:dyDescent="0.3">
      <c r="H75" t="str">
        <f>"% of calls:"&amp;TEXT(E71,"0%")</f>
        <v>% of calls:19%</v>
      </c>
    </row>
    <row r="76" spans="1:9" x14ac:dyDescent="0.3">
      <c r="D76" t="s">
        <v>1081</v>
      </c>
      <c r="E76">
        <f>_xlfn.RANK.AVG(E72,G48:G52)</f>
        <v>4</v>
      </c>
      <c r="H76" t="str">
        <f>IF(COUNTA(A69:A73)&gt;1,"","Call Rank:"&amp;E72)</f>
        <v>Call Rank:189</v>
      </c>
    </row>
    <row r="77" spans="1:9" x14ac:dyDescent="0.3">
      <c r="D77" t="s">
        <v>1082</v>
      </c>
      <c r="E77">
        <f>_xlfn.RANK.AVG(E73,H48:H52)</f>
        <v>4</v>
      </c>
      <c r="H77" t="str">
        <f>IF(COUNTA(A69:A73)&gt;1,"","Amount Rank:"&amp;E73)</f>
        <v>Amount Rank:18415</v>
      </c>
    </row>
    <row r="79" spans="1:9" x14ac:dyDescent="0.3">
      <c r="H79" t="s">
        <v>1084</v>
      </c>
      <c r="I79" t="e" vm="1">
        <f>IF(COUNTA(A69:A73)&gt;1,"",_xlfn.XLOOKUP(A69,Assets!E3:E7,Assets!F3:F7))</f>
        <v>#VALUE!</v>
      </c>
    </row>
    <row r="80" spans="1:9" x14ac:dyDescent="0.3">
      <c r="A80" s="24" t="s">
        <v>1043</v>
      </c>
      <c r="B80" s="24" t="s">
        <v>1077</v>
      </c>
    </row>
    <row r="81" spans="1:4" x14ac:dyDescent="0.3">
      <c r="A81" s="24" t="s">
        <v>1048</v>
      </c>
      <c r="B81" t="s">
        <v>998</v>
      </c>
      <c r="C81" t="s">
        <v>997</v>
      </c>
      <c r="D81" t="s">
        <v>1049</v>
      </c>
    </row>
    <row r="82" spans="1:4" x14ac:dyDescent="0.3">
      <c r="A82" s="34" t="s">
        <v>1001</v>
      </c>
      <c r="B82" s="21">
        <v>144</v>
      </c>
      <c r="C82" s="21">
        <v>132</v>
      </c>
      <c r="D82" s="21">
        <v>276</v>
      </c>
    </row>
    <row r="83" spans="1:4" x14ac:dyDescent="0.3">
      <c r="A83" s="34" t="s">
        <v>1000</v>
      </c>
      <c r="B83" s="21">
        <v>326</v>
      </c>
      <c r="C83" s="21">
        <v>63</v>
      </c>
      <c r="D83" s="21">
        <v>389</v>
      </c>
    </row>
    <row r="84" spans="1:4" x14ac:dyDescent="0.3">
      <c r="A84" s="34" t="s">
        <v>999</v>
      </c>
      <c r="B84" s="21">
        <v>129</v>
      </c>
      <c r="C84" s="21">
        <v>206</v>
      </c>
      <c r="D84" s="21">
        <v>335</v>
      </c>
    </row>
    <row r="85" spans="1:4" x14ac:dyDescent="0.3">
      <c r="A85" s="34" t="s">
        <v>1049</v>
      </c>
      <c r="B85" s="21">
        <v>599</v>
      </c>
      <c r="C85" s="21">
        <v>401</v>
      </c>
      <c r="D85" s="21">
        <v>1000</v>
      </c>
    </row>
    <row r="91" spans="1:4" x14ac:dyDescent="0.3">
      <c r="A91" s="24" t="s">
        <v>1048</v>
      </c>
      <c r="B91" t="s">
        <v>1043</v>
      </c>
    </row>
    <row r="92" spans="1:4" x14ac:dyDescent="0.3">
      <c r="A92" s="34">
        <v>1</v>
      </c>
      <c r="B92" s="21">
        <v>1</v>
      </c>
    </row>
    <row r="93" spans="1:4" x14ac:dyDescent="0.3">
      <c r="A93" s="34">
        <v>2</v>
      </c>
      <c r="B93" s="21">
        <v>9</v>
      </c>
    </row>
    <row r="94" spans="1:4" x14ac:dyDescent="0.3">
      <c r="A94" s="34">
        <v>3</v>
      </c>
      <c r="B94" s="21">
        <v>31</v>
      </c>
    </row>
    <row r="95" spans="1:4" x14ac:dyDescent="0.3">
      <c r="A95" s="34">
        <v>4</v>
      </c>
      <c r="B95" s="21">
        <v>88</v>
      </c>
    </row>
    <row r="96" spans="1:4" x14ac:dyDescent="0.3">
      <c r="A96" s="34">
        <v>5</v>
      </c>
      <c r="B96" s="21">
        <v>60</v>
      </c>
    </row>
    <row r="97" spans="1:3" x14ac:dyDescent="0.3">
      <c r="A97" s="34" t="s">
        <v>1049</v>
      </c>
      <c r="B97" s="21">
        <v>189</v>
      </c>
    </row>
    <row r="102" spans="1:3" x14ac:dyDescent="0.3">
      <c r="A102" s="24" t="s">
        <v>1044</v>
      </c>
      <c r="B102" s="24" t="s">
        <v>1077</v>
      </c>
    </row>
    <row r="103" spans="1:3" x14ac:dyDescent="0.3">
      <c r="A103" s="24" t="s">
        <v>1048</v>
      </c>
      <c r="B103" t="s">
        <v>11</v>
      </c>
      <c r="C103" t="s">
        <v>1049</v>
      </c>
    </row>
    <row r="104" spans="1:3" x14ac:dyDescent="0.3">
      <c r="A104" s="34" t="s">
        <v>1001</v>
      </c>
      <c r="B104" s="35"/>
      <c r="C104" s="35"/>
    </row>
    <row r="105" spans="1:3" x14ac:dyDescent="0.3">
      <c r="A105" s="38" t="s">
        <v>20</v>
      </c>
      <c r="B105" s="22">
        <v>891</v>
      </c>
      <c r="C105" s="22">
        <v>891</v>
      </c>
    </row>
    <row r="106" spans="1:3" x14ac:dyDescent="0.3">
      <c r="A106" s="38" t="s">
        <v>12</v>
      </c>
      <c r="B106" s="22">
        <v>1991</v>
      </c>
      <c r="C106" s="22">
        <v>1991</v>
      </c>
    </row>
    <row r="107" spans="1:3" x14ac:dyDescent="0.3">
      <c r="A107" s="38" t="s">
        <v>8</v>
      </c>
      <c r="B107" s="22">
        <v>1163</v>
      </c>
      <c r="C107" s="22">
        <v>1163</v>
      </c>
    </row>
    <row r="108" spans="1:3" x14ac:dyDescent="0.3">
      <c r="A108" s="38" t="s">
        <v>16</v>
      </c>
      <c r="B108" s="22">
        <v>1438</v>
      </c>
      <c r="C108" s="22">
        <v>1438</v>
      </c>
    </row>
    <row r="109" spans="1:3" x14ac:dyDescent="0.3">
      <c r="A109" s="34" t="s">
        <v>1000</v>
      </c>
      <c r="B109" s="35"/>
      <c r="C109" s="35"/>
    </row>
    <row r="110" spans="1:3" x14ac:dyDescent="0.3">
      <c r="A110" s="38" t="s">
        <v>24</v>
      </c>
      <c r="B110" s="22">
        <v>1233</v>
      </c>
      <c r="C110" s="22">
        <v>1233</v>
      </c>
    </row>
    <row r="111" spans="1:3" x14ac:dyDescent="0.3">
      <c r="A111" s="38" t="s">
        <v>15</v>
      </c>
      <c r="B111" s="22">
        <v>1598</v>
      </c>
      <c r="C111" s="22">
        <v>1598</v>
      </c>
    </row>
    <row r="112" spans="1:3" x14ac:dyDescent="0.3">
      <c r="A112" s="38" t="s">
        <v>5</v>
      </c>
      <c r="B112" s="22">
        <v>900</v>
      </c>
      <c r="C112" s="22">
        <v>900</v>
      </c>
    </row>
    <row r="113" spans="1:3" x14ac:dyDescent="0.3">
      <c r="A113" s="38" t="s">
        <v>18</v>
      </c>
      <c r="B113" s="22">
        <v>900</v>
      </c>
      <c r="C113" s="22">
        <v>900</v>
      </c>
    </row>
    <row r="114" spans="1:3" x14ac:dyDescent="0.3">
      <c r="A114" s="38" t="s">
        <v>14</v>
      </c>
      <c r="B114" s="22">
        <v>1255</v>
      </c>
      <c r="C114" s="22">
        <v>1255</v>
      </c>
    </row>
    <row r="115" spans="1:3" x14ac:dyDescent="0.3">
      <c r="A115" s="38" t="s">
        <v>19</v>
      </c>
      <c r="B115" s="22">
        <v>1138</v>
      </c>
      <c r="C115" s="22">
        <v>1138</v>
      </c>
    </row>
    <row r="116" spans="1:3" x14ac:dyDescent="0.3">
      <c r="A116" s="34" t="s">
        <v>999</v>
      </c>
      <c r="B116" s="35"/>
      <c r="C116" s="35"/>
    </row>
    <row r="117" spans="1:3" x14ac:dyDescent="0.3">
      <c r="A117" s="38" t="s">
        <v>17</v>
      </c>
      <c r="B117" s="22">
        <v>1655</v>
      </c>
      <c r="C117" s="22">
        <v>1655</v>
      </c>
    </row>
    <row r="118" spans="1:3" x14ac:dyDescent="0.3">
      <c r="A118" s="38" t="s">
        <v>23</v>
      </c>
      <c r="B118" s="22">
        <v>1104</v>
      </c>
      <c r="C118" s="22">
        <v>1104</v>
      </c>
    </row>
    <row r="119" spans="1:3" x14ac:dyDescent="0.3">
      <c r="A119" s="38" t="s">
        <v>7</v>
      </c>
      <c r="B119" s="22">
        <v>372</v>
      </c>
      <c r="C119" s="22">
        <v>372</v>
      </c>
    </row>
    <row r="120" spans="1:3" x14ac:dyDescent="0.3">
      <c r="A120" s="38" t="s">
        <v>22</v>
      </c>
      <c r="B120" s="22">
        <v>1415</v>
      </c>
      <c r="C120" s="22">
        <v>1415</v>
      </c>
    </row>
    <row r="121" spans="1:3" x14ac:dyDescent="0.3">
      <c r="A121" s="38" t="s">
        <v>21</v>
      </c>
      <c r="B121" s="22">
        <v>1362</v>
      </c>
      <c r="C121" s="22">
        <v>1362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F3" sqref="F3"/>
    </sheetView>
  </sheetViews>
  <sheetFormatPr defaultRowHeight="14.4" x14ac:dyDescent="0.3"/>
  <cols>
    <col min="5" max="5" width="10.8984375" customWidth="1"/>
    <col min="6" max="6" width="9.8984375" customWidth="1"/>
  </cols>
  <sheetData>
    <row r="2" spans="5:6" x14ac:dyDescent="0.3">
      <c r="E2" t="s">
        <v>1039</v>
      </c>
      <c r="F2" t="s">
        <v>1040</v>
      </c>
    </row>
    <row r="3" spans="5:6" ht="25.5" customHeight="1" x14ac:dyDescent="0.3">
      <c r="E3" t="s">
        <v>11</v>
      </c>
      <c r="F3" t="e" vm="2">
        <v>#VALUE!</v>
      </c>
    </row>
    <row r="4" spans="5:6" ht="25.5" customHeight="1" x14ac:dyDescent="0.3">
      <c r="E4" t="s">
        <v>9</v>
      </c>
      <c r="F4" t="e" vm="3">
        <v>#VALUE!</v>
      </c>
    </row>
    <row r="5" spans="5:6" ht="25.5" customHeight="1" x14ac:dyDescent="0.3">
      <c r="E5" t="s">
        <v>6</v>
      </c>
      <c r="F5" t="e" vm="4">
        <v>#VALUE!</v>
      </c>
    </row>
    <row r="6" spans="5:6" ht="25.5" customHeight="1" x14ac:dyDescent="0.3">
      <c r="E6" t="s">
        <v>13</v>
      </c>
      <c r="F6" t="e" vm="5">
        <v>#VALUE!</v>
      </c>
    </row>
    <row r="7" spans="5:6" ht="25.5" customHeight="1" x14ac:dyDescent="0.3">
      <c r="E7" t="s">
        <v>10</v>
      </c>
      <c r="F7" t="e" vm="6">
        <v>#VALUE!</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Sheet4</vt:lpstr>
      <vt:lpstr>Sheet5</vt:lpstr>
      <vt:lpstr>Data</vt:lpstr>
      <vt:lpstr>Sheet2</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SANSKAR SHARMA</cp:lastModifiedBy>
  <cp:lastPrinted>2025-12-09T04:31:37Z</cp:lastPrinted>
  <dcterms:created xsi:type="dcterms:W3CDTF">2021-03-14T20:21:32Z</dcterms:created>
  <dcterms:modified xsi:type="dcterms:W3CDTF">2025-12-09T05:54:45Z</dcterms:modified>
</cp:coreProperties>
</file>